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950" yWindow="-16320" windowWidth="29040" windowHeight="15720" tabRatio="600" firstSheet="0" activeTab="0" autoFilterDateGrouping="1"/>
  </bookViews>
  <sheets>
    <sheet name="Sản phẩm" sheetId="1" state="visible" r:id="rId1"/>
    <sheet name="Danh mục" sheetId="2" state="visible" r:id="rId2"/>
    <sheet name="Trùng với web" sheetId="3" state="visible" r:id="rId3"/>
    <sheet name="Bỏ qua" sheetId="4" state="visible" r:id="rId4"/>
    <sheet name="Báo cáo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17324D"/>
      <sz val="11"/>
    </font>
    <font>
      <name val="Carlito"/>
      <b val="1"/>
      <color rgb="FFFFFFFF"/>
      <sz val="13"/>
    </font>
  </fonts>
  <fills count="6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DDEBF7"/>
      </patternFill>
    </fill>
    <fill>
      <patternFill patternType="solid">
        <fgColor rgb="FFF4B183"/>
      </patternFill>
    </fill>
    <fill>
      <patternFill patternType="solid">
        <fgColor rgb="FFE2F0D9"/>
      </patternFill>
    </fill>
  </fills>
  <borders count="15">
    <border>
      <left/>
      <right/>
      <top/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 style="thin">
        <color rgb="FFD0D7DE"/>
      </right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164" fontId="0" fillId="0" borderId="3" applyAlignment="1" pivotButton="0" quotePrefix="0" xfId="0">
      <alignment vertical="top" wrapText="1"/>
    </xf>
    <xf numFmtId="164" fontId="0" fillId="0" borderId="5" applyAlignment="1" pivotButton="0" quotePrefix="0" xfId="0">
      <alignment vertical="top" wrapText="1"/>
    </xf>
    <xf numFmtId="164" fontId="0" fillId="0" borderId="8" applyAlignment="1" pivotButton="0" quotePrefix="0" xfId="0">
      <alignment vertical="top" wrapText="1"/>
    </xf>
    <xf numFmtId="3" fontId="0" fillId="0" borderId="2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3" fontId="0" fillId="0" borderId="7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wrapText="1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3" fillId="3" borderId="4" applyAlignment="1" pivotButton="0" quotePrefix="0" xfId="0">
      <alignment vertical="center" wrapText="1"/>
    </xf>
    <xf numFmtId="0" fontId="3" fillId="3" borderId="5" applyAlignment="1" pivotButton="0" quotePrefix="0" xfId="0">
      <alignment vertical="center" wrapText="1"/>
    </xf>
    <xf numFmtId="0" fontId="3" fillId="4" borderId="5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3" fillId="5" borderId="4" applyAlignment="1" pivotButton="0" quotePrefix="0" xfId="0">
      <alignment wrapText="1"/>
    </xf>
    <xf numFmtId="0" fontId="3" fillId="5" borderId="0" applyAlignment="1" pivotButton="0" quotePrefix="0" xfId="0">
      <alignment wrapText="1"/>
    </xf>
    <xf numFmtId="0" fontId="3" fillId="5" borderId="5" applyAlignment="1" pivotButton="0" quotePrefix="0" xfId="0">
      <alignment wrapText="1"/>
    </xf>
    <xf numFmtId="0" fontId="4" fillId="2" borderId="4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3" fillId="5" borderId="6" applyAlignment="1" pivotButton="0" quotePrefix="0" xfId="0">
      <alignment wrapText="1"/>
    </xf>
    <xf numFmtId="0" fontId="3" fillId="5" borderId="7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0" fontId="2" fillId="2" borderId="13" applyAlignment="1" pivotButton="0" quotePrefix="0" xfId="0">
      <alignment horizontal="center" vertical="center"/>
    </xf>
    <xf numFmtId="0" fontId="0" fillId="0" borderId="2" pivotButton="0" quotePrefix="0" xfId="0"/>
    <xf numFmtId="0" fontId="3" fillId="5" borderId="14" applyAlignment="1" pivotButton="0" quotePrefix="0" xfId="0">
      <alignment wrapText="1"/>
    </xf>
    <xf numFmtId="0" fontId="4" fillId="2" borderId="14" applyAlignment="1" pivotButton="0" quotePrefix="0" xfId="0">
      <alignment horizontal="center"/>
    </xf>
    <xf numFmtId="0" fontId="3" fillId="5" borderId="12" applyAlignment="1" pivotButton="0" quotePrefix="0" xfId="0">
      <alignment wrapText="1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tabSelected="1" workbookViewId="0">
      <pane ySplit="1" topLeftCell="A23" activePane="bottomLeft" state="frozen"/>
      <selection pane="bottomLeft" activeCell="G24" sqref="G24"/>
    </sheetView>
  </sheetViews>
  <sheetFormatPr baseColWidth="8" defaultRowHeight="14.25"/>
  <cols>
    <col width="9" customWidth="1" min="1" max="1"/>
    <col width="34" customWidth="1" min="2" max="2"/>
    <col width="31" customWidth="1" min="3" max="3"/>
    <col width="38" customWidth="1" min="4" max="4"/>
    <col width="16" customWidth="1" min="5" max="5"/>
    <col width="15" customWidth="1" min="6" max="7"/>
    <col width="12" customWidth="1" min="8" max="8"/>
    <col width="10" customWidth="1" min="9" max="9"/>
    <col width="12" customWidth="1" min="10" max="10"/>
    <col width="13" customWidth="1" min="11" max="11"/>
    <col width="31" customWidth="1" min="12" max="12"/>
    <col width="42" customWidth="1" min="13" max="13"/>
    <col width="35" customWidth="1" min="14" max="14"/>
    <col width="50" customWidth="1" min="15" max="15"/>
    <col width="45" customWidth="1" min="16" max="16"/>
    <col width="30" customWidth="1" min="17" max="18"/>
    <col width="48" customWidth="1" min="19" max="19"/>
    <col width="13" customWidth="1" min="20" max="20"/>
  </cols>
  <sheetData>
    <row r="1" ht="42" customHeight="1">
      <c r="A1" s="1" t="inlineStr">
        <is>
          <t>ID</t>
        </is>
      </c>
      <c r="B1" s="1" t="inlineStr">
        <is>
          <t>Tên sản phẩm *</t>
        </is>
      </c>
      <c r="C1" s="1" t="inlineStr">
        <is>
          <t>Đường dẫn (slug)</t>
        </is>
      </c>
      <c r="D1" s="1" t="inlineStr">
        <is>
          <t>Danh mục * (tên, cách nhau bằng ;)</t>
        </is>
      </c>
      <c r="E1" s="1" t="inlineStr">
        <is>
          <t>Giá bán (VNĐ) *</t>
        </is>
      </c>
      <c r="F1" s="1" t="inlineStr">
        <is>
          <t>Giá gốc (VNĐ)</t>
        </is>
      </c>
      <c r="G1" s="1" t="inlineStr">
        <is>
          <t>Giá vốn (VNĐ)</t>
        </is>
      </c>
      <c r="H1" s="1" t="inlineStr">
        <is>
          <t>Mã SKU</t>
        </is>
      </c>
      <c r="I1" s="1" t="inlineStr">
        <is>
          <t>Tồn kho</t>
        </is>
      </c>
      <c r="J1" s="1" t="inlineStr">
        <is>
          <t>Hết hàng (x)</t>
        </is>
      </c>
      <c r="K1" s="1" t="inlineStr">
        <is>
          <t>Trạng thái</t>
        </is>
      </c>
      <c r="L1" s="1" t="inlineStr">
        <is>
          <t>Từ khóa (cách nhau bằng ,)</t>
        </is>
      </c>
      <c r="M1" s="1" t="inlineStr">
        <is>
          <t>Ảnh (URL hoặc /sites/..., mỗi ảnh một dòng)</t>
        </is>
      </c>
      <c r="N1" s="1" t="inlineStr">
        <is>
          <t>Mô tả ngắn (HTML)</t>
        </is>
      </c>
      <c r="O1" s="1" t="inlineStr">
        <is>
          <t>Mô tả chi tiết (HTML)</t>
        </is>
      </c>
      <c r="P1" s="1" t="inlineStr">
        <is>
          <t>Ghi chú</t>
        </is>
      </c>
      <c r="Q1" s="1" t="inlineStr">
        <is>
          <t>Link nhà cung cấp</t>
        </is>
      </c>
      <c r="R1" s="1" t="inlineStr">
        <is>
          <t>Tên tiếng Nhật</t>
        </is>
      </c>
      <c r="S1" s="1" t="inlineStr">
        <is>
          <t>Nguồn Facebook</t>
        </is>
      </c>
      <c r="T1" s="1" t="inlineStr">
        <is>
          <t>Ngày đăng</t>
        </is>
      </c>
    </row>
    <row r="2" ht="110.1" customHeight="1">
      <c r="A2" s="17" t="n"/>
      <c r="B2" s="18" t="inlineStr">
        <is>
          <t>Gel Dưỡng Săn Chắc Da Sau Sinh Pigeon 110g</t>
        </is>
      </c>
      <c r="C2" s="18" t="inlineStr">
        <is>
          <t>gel-duong-san-chac-da-sau-sinh-pigeon-110g</t>
        </is>
      </c>
      <c r="D2" s="18" t="inlineStr">
        <is>
          <t>MOM AND BABY; DƯỠNG THỂ ( BODY )</t>
        </is>
      </c>
      <c r="E2" s="29" t="n"/>
      <c r="F2" s="29" t="n"/>
      <c r="G2" s="29" t="n"/>
      <c r="H2" s="18" t="n"/>
      <c r="I2" s="18" t="n"/>
      <c r="J2" s="18" t="n"/>
      <c r="K2" s="18" t="inlineStr">
        <is>
          <t>Bản nháp</t>
        </is>
      </c>
      <c r="L2" s="18" t="inlineStr">
        <is>
          <t>pigeon, gel sau sinh, gel săn chắc da, chăm sóc mẹ, dưỡng thể</t>
        </is>
      </c>
      <c r="M2" s="18" t="inlineStr">
        <is>
          <t>https://scontent.fhnd7-1.fna.fbcdn.net/v/t39.30808-6/481228051_2911311935714302_5265931649338059429_n.jpg?stp=dst-jpg_tt6&amp;cstp=mx720x960&amp;ctp=s720x960&amp;_nc_cat=105&amp;ccb=1-7&amp;_nc_sid=833d8c&amp;_nc_ohc=7Hwag43RVyUQ7kNvwGfdWK-&amp;_nc_oc=AdpsufMH3wxnqUdd8PAcWGmQzsuPo-p-LLAA44B28dQjIYPfin6Q1Cqhv2xnneAwmO0&amp;_nc_zt=23&amp;_nc_ht=scontent.fhnd7-1.fna&amp;_nc_gid=jtuqhtgsuPjP6o1JqpQbCA&amp;_nc_ss=7b2a8&amp;oh=00_AQL7_AGRcC9x8TvLVmUgkg-qQZkpqn4rtWAaIVMoB_nEYQ&amp;oe=6AA61ACA</t>
        </is>
      </c>
      <c r="N2" s="18" t="inlineStr">
        <is>
          <t>&lt;p&gt;Gel Pigeon dùng sau sinh giúp chăm sóc da cơ thể săn chắc.&lt;/p&gt;</t>
        </is>
      </c>
      <c r="O2" s="18" t="inlineStr">
        <is>
          <t>&lt;p&gt;Gel chăm sóc da cơ thể Pigeon dùng sau sinh.&lt;/p&gt;&lt;ul&gt;&lt;li&gt;Thương hiệu: Pigeon&lt;/li&gt;&lt;li&gt;Quy cách: 110g&lt;/li&gt;&lt;/ul&gt;&lt;p&gt;&lt;strong&gt;Công dụng&lt;/strong&gt;&lt;/p&gt;&lt;ul&gt;&lt;li&gt;Giúp chăm sóc và làm săn chắc da cơ thể sau sinh.&lt;/li&gt;&lt;/ul&gt;&lt;p&gt;&lt;strong&gt;Thành phần&lt;/strong&gt;&lt;/p&gt;&lt;ul&gt;&lt;li&gt;Chiết xuất tầm xuân, tảo biển, collagen và axit hyaluronic theo bao bì.&lt;/li&gt;&lt;/ul&gt;&lt;p&gt;&lt;strong&gt;Đối tượng sử dụng&lt;/strong&gt;&lt;/p&gt;&lt;ul&gt;&lt;li&gt;Phụ nữ sau sinh.&lt;/li&gt;&lt;/ul&gt;</t>
        </is>
      </c>
      <c r="P2" s="18" t="inlineStr">
        <is>
          <t>Thiếu giá. Ảnh có tay cầm; chưa có ảnh đại diện nền trơn.</t>
        </is>
      </c>
      <c r="Q2" s="18" t="n"/>
      <c r="R2" s="18" t="inlineStr">
        <is>
          <t>ピジョン ボディ用ひきしめジェル 110g</t>
        </is>
      </c>
      <c r="S2" s="18" t="inlineStr">
        <is>
          <t>https://www.facebook.com/le.trang.77582359/posts/pfbid0XhdX29vc4D8KmvvWDrkrLZZbyR2YhwiEY717Hm8SMKMuaZbQcWnbL2ggELk54Hqgl</t>
        </is>
      </c>
      <c r="T2" s="26" t="n">
        <v>44803</v>
      </c>
    </row>
    <row r="3" ht="110.1" customHeight="1">
      <c r="A3" s="20" t="n"/>
      <c r="B3" s="21" t="inlineStr">
        <is>
          <t>Viên Nang Fucoidan Okinawa Kanehide Bio 180 Viên</t>
        </is>
      </c>
      <c r="C3" s="21" t="inlineStr">
        <is>
          <t>vien-nang-fucoidan-okinawa-kanehide-bio-180-vien</t>
        </is>
      </c>
      <c r="D3" s="21" t="inlineStr">
        <is>
          <t>THỰC PHẨM CHỨC NĂNG ( FUNCTIONAL FOODS )</t>
        </is>
      </c>
      <c r="E3" s="30" t="n"/>
      <c r="F3" s="30" t="n"/>
      <c r="G3" s="30" t="n"/>
      <c r="H3" s="21" t="n"/>
      <c r="I3" s="21" t="n"/>
      <c r="J3" s="21" t="n"/>
      <c r="K3" s="21" t="inlineStr">
        <is>
          <t>Bản nháp</t>
        </is>
      </c>
      <c r="L3" s="21" t="inlineStr">
        <is>
          <t>fucoidan, okinawa, kanehide bio, mozuku, viên nang nhật bản</t>
        </is>
      </c>
      <c r="M3" s="21" t="inlineStr">
        <is>
          <t>https://scontent.fhnd7-1.fna.fbcdn.net/v/t39.30808-6/480896801_2911312242380938_783627605194582292_n.jpg?stp=dst-jpg_tt6&amp;cstp=mx960x960&amp;ctp=s960x960&amp;_nc_cat=102&amp;ccb=1-7&amp;_nc_sid=833d8c&amp;_nc_ohc=rMvvDGNuBVwQ7kNvwG-PF8J&amp;_nc_oc=AdrOM9Lw8GW_ghU2pqqTBCUk7ytL5BC9UsdFl9Q0sD6ap_aI_13F8WKanpUdDiJ5HbE&amp;_nc_zt=23&amp;_nc_ht=scontent.fhnd7-1.fna&amp;_nc_gid=oOfAOd8V5hH7hQH5MH_k8Q&amp;_nc_ss=7b2a8&amp;oh=00_AQLo-mtw_59-SGFqhO5kSbZ_CUH7a-fSlzQ_QIsK3MzX5A&amp;oe=6AA60D2C</t>
        </is>
      </c>
      <c r="N3" s="21" t="inlineStr">
        <is>
          <t>&lt;p&gt;Viên nang bổ sung fucoidan chiết xuất từ mozuku Okinawa.&lt;/p&gt;</t>
        </is>
      </c>
      <c r="O3" s="21" t="inlineStr">
        <is>
          <t>&lt;p&gt;Viên nang Fucoidan Okinawa của Kanehide Bio, chiết xuất từ mozuku Okinawa.&lt;/p&gt;&lt;ul&gt;&lt;li&gt;Xuất xứ: Nhật Bản&lt;/li&gt;&lt;li&gt;Thương hiệu: Kanehide Bio&lt;/li&gt;&lt;li&gt;Quy cách: 42g, 180 viên nang thực vật&lt;/li&gt;&lt;/ul&gt;&lt;p&gt;&lt;strong&gt;Hướng dẫn sử dụng&lt;/strong&gt;&lt;/p&gt;&lt;ul&gt;&lt;li&gt;Dùng 6 viên mỗi ngày theo tờ giới thiệu trong ảnh.&lt;/li&gt;&lt;/ul&gt;</t>
        </is>
      </c>
      <c r="P3" s="21" t="inlineStr">
        <is>
          <t>Caption chỉ ghi sẵn 5 hộp. Không có giá; ảnh chụp nhiều hộp.</t>
        </is>
      </c>
      <c r="Q3" s="21" t="n"/>
      <c r="R3" s="21" t="inlineStr">
        <is>
          <t>沖縄フコイダン 42g（180粒中）</t>
        </is>
      </c>
      <c r="S3" s="21" t="inlineStr">
        <is>
          <t>https://www.facebook.com/le.trang.77582359/posts/pfbid032itGiekmamBUTwSScQUNqtszq8ehvrku5FsuLiNawG3P7KynGaqZDtiv3QBXYLpgl</t>
        </is>
      </c>
      <c r="T3" s="27" t="n">
        <v>44803</v>
      </c>
    </row>
    <row r="4" ht="110.1" customHeight="1">
      <c r="A4" s="20" t="n"/>
      <c r="B4" s="21" t="inlineStr">
        <is>
          <t>Gel Dưỡng Trắng NMN White All In One Gel 245g</t>
        </is>
      </c>
      <c r="C4" s="21" t="inlineStr">
        <is>
          <t>gel-duong-trang-nmn-white-all-in-one-gel-245g</t>
        </is>
      </c>
      <c r="D4" s="21" t="inlineStr">
        <is>
          <t>KEM DƯỠNG DÀNH CHO MẶT ( FACE CREAM )</t>
        </is>
      </c>
      <c r="E4" s="30" t="n"/>
      <c r="F4" s="30" t="n"/>
      <c r="G4" s="30" t="n"/>
      <c r="H4" s="21" t="n"/>
      <c r="I4" s="21" t="n"/>
      <c r="J4" s="21" t="n"/>
      <c r="K4" s="21" t="inlineStr">
        <is>
          <t>Bản nháp</t>
        </is>
      </c>
      <c r="L4" s="21" t="inlineStr">
        <is>
          <t>nmn, all in one gel, gel dưỡng trắng, kem dưỡng mặt, 245g</t>
        </is>
      </c>
      <c r="M4" s="21" t="inlineStr">
        <is>
          <t>https://scontent.fhnd7-1.fna.fbcdn.net/v/t39.30808-6/481180949_2911311949047634_3055595087565175612_n.jpg?stp=dst-jpg_tt6&amp;cstp=mx960x960&amp;ctp=s960x960&amp;_nc_cat=105&amp;ccb=1-7&amp;_nc_sid=833d8c&amp;_nc_ohc=88wq2qFLyXsQ7kNvwGTglvM&amp;_nc_oc=AdpZu9dCu8XBU072OMI4upZyu9Qv7Lq6vuR2r3CMWXB6rNvha9S0hQzSaA91JKq8a1M&amp;_nc_zt=23&amp;_nc_ht=scontent.fhnd7-1.fna&amp;_nc_gid=OgOR9PKN_1u0aIL19K9DSQ&amp;_nc_ss=7b2a8&amp;oh=00_AQJqhlypQbiQj3ggp1meXEhhhQD2AvIWpFpwJpy4m8EXcQ&amp;oe=6AA633E5</t>
        </is>
      </c>
      <c r="N4" s="21" t="inlineStr">
        <is>
          <t>&lt;p&gt;Gel dưỡng da NMN White All In One quy cách 245g.&lt;/p&gt;</t>
        </is>
      </c>
      <c r="O4" s="21" t="inlineStr">
        <is>
          <t>&lt;p&gt;Gel dưỡng da đa năng NMN White All In One Gel.&lt;/p&gt;&lt;ul&gt;&lt;li&gt;Quy cách: 245g&lt;/li&gt;&lt;/ul&gt;&lt;p&gt;&lt;strong&gt;Công dụng&lt;/strong&gt;&lt;/p&gt;&lt;ul&gt;&lt;li&gt;Dùng trong bộ chăm sóc da NMN được giới thiệu trong bài đăng.&lt;/li&gt;&lt;/ul&gt;</t>
        </is>
      </c>
      <c r="P4" s="21" t="inlineStr">
        <is>
          <t>Tên và quy cách đọc trên hũ. Thiếu giá; ảnh có tay cầm.</t>
        </is>
      </c>
      <c r="Q4" s="21" t="n"/>
      <c r="R4" s="21" t="inlineStr">
        <is>
          <t>NMN ホワイト オールインワンゲル 245g</t>
        </is>
      </c>
      <c r="S4" s="21" t="inlineStr">
        <is>
          <t>https://www.facebook.com/le.trang.77582359/posts/pfbid029BhFyRuTBScGoT1ctbAj5w457M2ynpBaHhVpH6csZ7wnnXbvNjLmFpfKkb42jQ6Cl</t>
        </is>
      </c>
      <c r="T4" s="27" t="n">
        <v>44803</v>
      </c>
    </row>
    <row r="5" ht="110.1" customHeight="1">
      <c r="A5" s="20" t="n"/>
      <c r="B5" s="21" t="inlineStr">
        <is>
          <t>Serum NMN Deep Moist Essence</t>
        </is>
      </c>
      <c r="C5" s="21" t="inlineStr">
        <is>
          <t>serum-nmn-deep-moist-essence</t>
        </is>
      </c>
      <c r="D5" s="21" t="inlineStr">
        <is>
          <t>TINH CHẤT DƯỠNG ( SERUM/ESSENCE )</t>
        </is>
      </c>
      <c r="E5" s="30" t="n"/>
      <c r="F5" s="30" t="n"/>
      <c r="G5" s="30" t="n"/>
      <c r="H5" s="21" t="n"/>
      <c r="I5" s="21" t="n"/>
      <c r="J5" s="21" t="n"/>
      <c r="K5" s="21" t="inlineStr">
        <is>
          <t>Bản nháp</t>
        </is>
      </c>
      <c r="L5" s="21" t="inlineStr">
        <is>
          <t>nmn, deep moist essence, serum nmn, tinh chất dưỡng, dưỡng ẩm</t>
        </is>
      </c>
      <c r="M5" s="21" t="inlineStr">
        <is>
          <t>https://scontent.fhnd7-1.fna.fbcdn.net/v/t39.30808-6/481180949_2911311949047634_3055595087565175612_n.jpg?stp=dst-jpg_tt6&amp;cstp=mx960x960&amp;ctp=s960x960&amp;_nc_cat=105&amp;ccb=1-7&amp;_nc_sid=833d8c&amp;_nc_ohc=88wq2qFLyXsQ7kNvwGTglvM&amp;_nc_oc=AdpZu9dCu8XBU072OMI4upZyu9Qv7Lq6vuR2r3CMWXB6rNvha9S0hQzSaA91JKq8a1M&amp;_nc_zt=23&amp;_nc_ht=scontent.fhnd7-1.fna&amp;_nc_gid=OgOR9PKN_1u0aIL19K9DSQ&amp;_nc_ss=7b2a8&amp;oh=00_AQJqhlypQbiQj3ggp1meXEhhhQD2AvIWpFpwJpy4m8EXcQ&amp;oe=6AA633E5</t>
        </is>
      </c>
      <c r="N5" s="21" t="inlineStr">
        <is>
          <t>&lt;p&gt;Tinh chất NMN Deep Moist Essence trong bộ chăm sóc da NMN.&lt;/p&gt;</t>
        </is>
      </c>
      <c r="O5" s="21" t="inlineStr">
        <is>
          <t>&lt;p&gt;Tinh chất dưỡng da NMN Deep Moist Essence.&lt;/p&gt;&lt;p&gt;&lt;strong&gt;Công dụng&lt;/strong&gt;&lt;/p&gt;&lt;ul&gt;&lt;li&gt;Dùng trong bộ chăm sóc da NMN được giới thiệu trong bài đăng.&lt;/li&gt;&lt;/ul&gt;</t>
        </is>
      </c>
      <c r="P5" s="21" t="inlineStr">
        <is>
          <t>Chưa đọc rõ dung tích. Thiếu giá; ảnh có tay cầm.</t>
        </is>
      </c>
      <c r="Q5" s="21" t="n"/>
      <c r="R5" s="21" t="inlineStr">
        <is>
          <t>NMN Deep Moist Essence</t>
        </is>
      </c>
      <c r="S5" s="21" t="inlineStr">
        <is>
          <t>https://www.facebook.com/le.trang.77582359/posts/pfbid029BhFyRuTBScGoT1ctbAj5w457M2ynpBaHhVpH6csZ7wnnXbvNjLmFpfKkb42jQ6Cl</t>
        </is>
      </c>
      <c r="T5" s="27" t="n">
        <v>44803</v>
      </c>
    </row>
    <row r="6" ht="110.1" customHeight="1">
      <c r="A6" s="20" t="n"/>
      <c r="B6" s="21" t="inlineStr">
        <is>
          <t>Nước Hoa Hồng The Stem Cell Skin Lotion 150ml</t>
        </is>
      </c>
      <c r="C6" s="21" t="inlineStr">
        <is>
          <t>nuoc-hoa-hong-the-stem-cell-skin-lotion-150ml</t>
        </is>
      </c>
      <c r="D6" s="21" t="inlineStr">
        <is>
          <t>NƯỚC HOA HỒNG ( LOTION )</t>
        </is>
      </c>
      <c r="E6" s="30" t="n"/>
      <c r="F6" s="30" t="n"/>
      <c r="G6" s="30" t="n"/>
      <c r="H6" s="21" t="n"/>
      <c r="I6" s="21" t="n"/>
      <c r="J6" s="21" t="n"/>
      <c r="K6" s="21" t="inlineStr">
        <is>
          <t>Bản nháp</t>
        </is>
      </c>
      <c r="L6" s="21" t="inlineStr">
        <is>
          <t>the stem cell, skin lotion, nước hoa hồng, lotion, 150ml</t>
        </is>
      </c>
      <c r="M6" s="21" t="inlineStr">
        <is>
          <t>https://scontent.fhnd7-1.fna.fbcdn.net/v/t39.30808-6/481180949_2911311949047634_3055595087565175612_n.jpg?stp=dst-jpg_tt6&amp;cstp=mx960x960&amp;ctp=s960x960&amp;_nc_cat=105&amp;ccb=1-7&amp;_nc_sid=833d8c&amp;_nc_ohc=88wq2qFLyXsQ7kNvwGTglvM&amp;_nc_oc=AdpZu9dCu8XBU072OMI4upZyu9Qv7Lq6vuR2r3CMWXB6rNvha9S0hQzSaA91JKq8a1M&amp;_nc_zt=23&amp;_nc_ht=scontent.fhnd7-1.fna&amp;_nc_gid=OgOR9PKN_1u0aIL19K9DSQ&amp;_nc_ss=7b2a8&amp;oh=00_AQJqhlypQbiQj3ggp1meXEhhhQD2AvIWpFpwJpy4m8EXcQ&amp;oe=6AA633E5</t>
        </is>
      </c>
      <c r="N6" s="21" t="inlineStr">
        <is>
          <t>&lt;p&gt;Skin lotion The Stem Cell quy cách 150ml.&lt;/p&gt;</t>
        </is>
      </c>
      <c r="O6" s="21" t="inlineStr">
        <is>
          <t>&lt;p&gt;Nước hoa hồng The Stem Cell Skin Lotion.&lt;/p&gt;&lt;ul&gt;&lt;li&gt;Quy cách: 150ml&lt;/li&gt;&lt;/ul&gt;&lt;p&gt;&lt;strong&gt;Công dụng&lt;/strong&gt;&lt;/p&gt;&lt;ul&gt;&lt;li&gt;Dùng trong bộ chăm sóc da được giới thiệu trong bài đăng.&lt;/li&gt;&lt;/ul&gt;</t>
        </is>
      </c>
      <c r="P6" s="21" t="inlineStr">
        <is>
          <t>Dung tích đọc trên chai. Thiếu giá; ảnh có tay cầm.</t>
        </is>
      </c>
      <c r="Q6" s="21" t="n"/>
      <c r="R6" s="21" t="inlineStr">
        <is>
          <t>THE STEM CELL SKIN LOTION</t>
        </is>
      </c>
      <c r="S6" s="21" t="inlineStr">
        <is>
          <t>https://www.facebook.com/le.trang.77582359/posts/pfbid029BhFyRuTBScGoT1ctbAj5w457M2ynpBaHhVpH6csZ7wnnXbvNjLmFpfKkb42jQ6Cl</t>
        </is>
      </c>
      <c r="T6" s="27" t="n">
        <v>44803</v>
      </c>
    </row>
    <row r="7" ht="110.1" customHeight="1">
      <c r="A7" s="20" t="n"/>
      <c r="B7" s="21" t="inlineStr">
        <is>
          <t>Viên Uống Hapycom Motionact EX 270 Viên</t>
        </is>
      </c>
      <c r="C7" s="21" t="inlineStr">
        <is>
          <t>vien-uong-hapycom-motionact-ex-270-vien</t>
        </is>
      </c>
      <c r="D7" s="21" t="inlineStr">
        <is>
          <t>THỰC PHẨM CHỨC NĂNG ( FUNCTIONAL FOODS )</t>
        </is>
      </c>
      <c r="E7" s="30" t="n"/>
      <c r="F7" s="30" t="n"/>
      <c r="G7" s="30" t="n"/>
      <c r="H7" s="21" t="n"/>
      <c r="I7" s="21" t="n"/>
      <c r="J7" s="21" t="n"/>
      <c r="K7" s="21" t="inlineStr">
        <is>
          <t>Bản nháp</t>
        </is>
      </c>
      <c r="L7" s="21" t="inlineStr">
        <is>
          <t>hapycom, motionact ex, đau vai gáy, vitamin b, vitamin e</t>
        </is>
      </c>
      <c r="M7" s="21" t="inlineStr">
        <is>
          <t>https://scontent.fhnd7-1.fna.fbcdn.net/v/t39.30808-6/482058372_2911311959047633_5250511184216818117_n.jpg?stp=dst-jpg_tt6&amp;cstp=mx720x960&amp;ctp=s720x960&amp;_nc_cat=104&amp;ccb=1-7&amp;_nc_sid=833d8c&amp;_nc_ohc=z5ds6HnEZJEQ7kNvwHEWSif&amp;_nc_oc=AdoFUYPWODVr9T-b10EQpI0L7GbS3lwIL5zIe87V481p8yzrP_Ho8iRC-pSnJ8Ow7K4&amp;_nc_zt=23&amp;_nc_ht=scontent.fhnd7-1.fna&amp;_nc_gid=4hRgvppkDxWYw0ODQsujCg&amp;_nc_ss=7b2a8&amp;oh=00_AQI1VVRX4Qakwcs46tZwjoyjH8unfxrYNvczNVxFSqmkJQ&amp;oe=6AA60D9F</t>
        </is>
      </c>
      <c r="N7" s="21" t="inlineStr">
        <is>
          <t>&lt;p&gt;Viên uống Hapycom Motionact EX quy cách 270 viên.&lt;/p&gt;</t>
        </is>
      </c>
      <c r="O7" s="21" t="inlineStr">
        <is>
          <t>&lt;p&gt;Viên uống Hapycom Motionact EX được giới thiệu cho người đau mỏi vai gáy.&lt;/p&gt;&lt;ul&gt;&lt;li&gt;Quy cách: 270 viên&lt;/li&gt;&lt;li&gt;Độ tuổi theo bao bì: từ 15 tuổi&lt;/li&gt;&lt;/ul&gt;</t>
        </is>
      </c>
      <c r="P7" s="21" t="inlineStr">
        <is>
          <t>Caption có chỗ gọi nhầm Arinamin EX Plus; tên chuẩn lấy từ bao bì. Thiếu giá; ảnh có tay cầm.</t>
        </is>
      </c>
      <c r="Q7" s="21" t="n"/>
      <c r="R7" s="21" t="inlineStr">
        <is>
          <t>Hapycom マージョンアクト EX 270錠</t>
        </is>
      </c>
      <c r="S7" s="21" t="inlineStr">
        <is>
          <t>https://www.facebook.com/le.trang.77582359/posts/pfbid02zCS6we1toFYUM99iLG72xbW9kbBYbds81PNmYuRt97kZ8s7ocobZd1p4EibfWhNwl</t>
        </is>
      </c>
      <c r="T7" s="27" t="n">
        <v>44803</v>
      </c>
    </row>
    <row r="8" ht="110.1" customHeight="1">
      <c r="A8" s="20" t="n"/>
      <c r="B8" s="21" t="inlineStr">
        <is>
          <t>Men Vi Sinh Health Aid Bifina S 30 Gói</t>
        </is>
      </c>
      <c r="C8" s="21" t="inlineStr">
        <is>
          <t>men-vi-sinh-health-aid-bifina-s-30-goi</t>
        </is>
      </c>
      <c r="D8" s="21" t="inlineStr">
        <is>
          <t>THỰC PHẨM CHỨC NĂNG ( FUNCTIONAL FOODS )</t>
        </is>
      </c>
      <c r="E8" s="30" t="n"/>
      <c r="F8" s="30" t="n"/>
      <c r="G8" s="30" t="n"/>
      <c r="H8" s="21" t="n"/>
      <c r="I8" s="21" t="n"/>
      <c r="J8" s="21" t="n"/>
      <c r="K8" s="21" t="inlineStr">
        <is>
          <t>Bản nháp</t>
        </is>
      </c>
      <c r="L8" s="21" t="inlineStr">
        <is>
          <t>bifina s, health aid, men vi sinh, bb536, 30 gói</t>
        </is>
      </c>
      <c r="M8" s="21" t="inlineStr">
        <is>
          <t>https://scontent.fhnd7-1.fna.fbcdn.net/v/t39.30808-6/481264868_2911312132380949_5932691296401449729_n.jpg?stp=dst-jpg_tt6&amp;cstp=mx720x960&amp;ctp=s720x960&amp;_nc_cat=108&amp;ccb=1-7&amp;_nc_sid=833d8c&amp;_nc_ohc=F1LTx7FZIsUQ7kNvwHQDeJ5&amp;_nc_oc=AdrVqqkjTLdOlmK0p_9gyNEHIqzUGZlHRzTnoH76vI75FNhNomYfD5EeTyRwQiXi_Kk&amp;_nc_zt=23&amp;_nc_ht=scontent.fhnd7-1.fna&amp;_nc_gid=RV8ydNW7XIc0sIr9RTHMJw&amp;_nc_ss=7b2a8&amp;oh=00_AQJ7A_hAYSV_ujsnITeCPwcDN_6RskFd9SI9WjzIiYQjYA&amp;oe=6AA618E1</t>
        </is>
      </c>
      <c r="N8" s="21" t="inlineStr">
        <is>
          <t>&lt;p&gt;Men vi sinh Health Aid Bifina S, hộp 30 gói.&lt;/p&gt;</t>
        </is>
      </c>
      <c r="O8" s="21" t="inlineStr">
        <is>
          <t>&lt;p&gt;Men vi sinh Bifina S của Health Aid.&lt;/p&gt;&lt;ul&gt;&lt;li&gt;Quy cách: 30 ngày, 30 gói&lt;/li&gt;&lt;li&gt;Chủng: Bifidobacterium longum BB536&lt;/li&gt;&lt;li&gt;Hàm lượng ghi trên bao bì: 5 tỷ lợi khuẩn&lt;/li&gt;&lt;/ul&gt;</t>
        </is>
      </c>
      <c r="P8" s="21" t="inlineStr">
        <is>
          <t>Thiếu giá; ảnh có tay cầm.</t>
        </is>
      </c>
      <c r="Q8" s="21" t="n"/>
      <c r="R8" s="21" t="inlineStr">
        <is>
          <t>ヘルスエイド ビフィーナS 30日分（30袋）</t>
        </is>
      </c>
      <c r="S8" s="21" t="inlineStr">
        <is>
          <t>https://www.facebook.com/le.trang.77582359/posts/pfbid0B9AYBDyTBizQWuqg3a5KMrGZMyN4GVC1qHh6jVf5ub9rArXZYFAKYZaM9uJJ8b9Al</t>
        </is>
      </c>
      <c r="T8" s="27" t="n">
        <v>44803</v>
      </c>
    </row>
    <row r="9" ht="110.1" customHeight="1">
      <c r="A9" s="20" t="n"/>
      <c r="B9" s="21" t="inlineStr">
        <is>
          <t>Kẹo Bổ Sung Canxi Cho Bé Bone Kids Calcium</t>
        </is>
      </c>
      <c r="C9" s="21" t="inlineStr">
        <is>
          <t>keo-bo-sung-canxi-cho-be-bone-kids-calcium</t>
        </is>
      </c>
      <c r="D9" s="21" t="inlineStr">
        <is>
          <t>MOM AND BABY</t>
        </is>
      </c>
      <c r="E9" s="30" t="n"/>
      <c r="F9" s="30" t="n"/>
      <c r="G9" s="30" t="n"/>
      <c r="H9" s="21" t="n"/>
      <c r="I9" s="21" t="n"/>
      <c r="J9" s="21" t="n"/>
      <c r="K9" s="21" t="inlineStr">
        <is>
          <t>Bản nháp</t>
        </is>
      </c>
      <c r="L9" s="21" t="inlineStr">
        <is>
          <t>bone kids calcium, canxi cho bé, kẹo canxi, kids calcium, hàng nhật</t>
        </is>
      </c>
      <c r="M9" s="21" t="inlineStr">
        <is>
          <t>https://scontent.fhnd7-1.fna.fbcdn.net/v/t39.30808-6/480883173_2910571239121705_2732633255200139179_n.jpg?stp=dst-jpg_tt6&amp;cstp=mx720x960&amp;ctp=s720x960&amp;_nc_cat=100&amp;ccb=1-7&amp;_nc_sid=833d8c&amp;_nc_ohc=cx4PVw7zUGUQ7kNvwF6U8ND&amp;_nc_oc=Adpa5zc3xU-rOGRRBQE5TIxjbtZmpq_nxRXGn7SGNfj72rRCErUJz9bso_gR6kYZRFY&amp;_nc_zt=23&amp;_nc_ht=scontent.fhnd7-1.fna&amp;_nc_gid=2YULPgZeO8Ul1dXRR9-zkw&amp;_nc_ss=7b2a8&amp;oh=00_AQLuAVOzcaepLq3f6CKqtE23pFsLixRdLWRslVURIV0xMw&amp;oe=6AA633D3</t>
        </is>
      </c>
      <c r="N9" s="21" t="inlineStr">
        <is>
          <t>&lt;p&gt;Sản phẩm bổ sung canxi cho trẻ em Bone Kids Calcium.&lt;/p&gt;</t>
        </is>
      </c>
      <c r="O9" s="21" t="inlineStr">
        <is>
          <t>&lt;p&gt;Sản phẩm Bone Kids Calcium xuất hiện trong bài đăng hàng có sẵn.&lt;/p&gt;&lt;p&gt;&lt;strong&gt;Công dụng&lt;/strong&gt;&lt;/p&gt;&lt;ul&gt;&lt;li&gt;Bổ sung canxi cho trẻ em theo thông tin trên bao bì.&lt;/li&gt;&lt;/ul&gt;</t>
        </is>
      </c>
      <c r="P9" s="21" t="inlineStr">
        <is>
          <t>Caption gọi là “sữa bổ sung canxi” nhưng ảnh cho thấy gói Bone Kids Calcium. Chưa đọc rõ hãng và quy cách; ảnh hàng gộp.</t>
        </is>
      </c>
      <c r="Q9" s="21" t="n"/>
      <c r="R9" s="21" t="inlineStr">
        <is>
          <t>骨キッズカルシウム</t>
        </is>
      </c>
      <c r="S9" s="21" t="inlineStr">
        <is>
          <t>https://www.facebook.com/le.trang.77582359/posts/pfbid0346pvNErtzJwW5ijoBfntaa77da1Vfz6vFutW5bqXPjyTT95hhD51cDipyXrbA3NZl</t>
        </is>
      </c>
      <c r="T9" s="27" t="n">
        <v>44785</v>
      </c>
    </row>
    <row r="10" ht="110.1" customHeight="1">
      <c r="A10" s="20" t="n"/>
      <c r="B10" s="21" t="inlineStr">
        <is>
          <t>Kem Dưỡng Ẩm Shiseido Aqualabel All-In-One Màu Đỏ</t>
        </is>
      </c>
      <c r="C10" s="21" t="inlineStr">
        <is>
          <t>kem-duong-am-shiseido-aqualabel-all-in-one-mau-do</t>
        </is>
      </c>
      <c r="D10" s="21" t="inlineStr">
        <is>
          <t>KEM DƯỠNG DÀNH CHO MẶT ( FACE CREAM )</t>
        </is>
      </c>
      <c r="E10" s="30" t="n"/>
      <c r="F10" s="30" t="n"/>
      <c r="G10" s="30" t="n"/>
      <c r="H10" s="21" t="n"/>
      <c r="I10" s="21" t="n"/>
      <c r="J10" s="21" t="n"/>
      <c r="K10" s="21" t="inlineStr">
        <is>
          <t>Bản nháp</t>
        </is>
      </c>
      <c r="L10" s="21" t="inlineStr">
        <is>
          <t>shiseido, aqualabel, all in one, kem dưỡng ẩm, hộp đỏ</t>
        </is>
      </c>
      <c r="M10" s="21" t="inlineStr">
        <is>
          <t>https://scontent.fhnd7-1.fna.fbcdn.net/v/t39.30808-6/481468298_2911314472380715_7798741858468094844_n.jpg?stp=cp6_dst-jpg_tt6&amp;cstp=mx720x960&amp;ctp=s720x960&amp;_nc_cat=104&amp;ccb=1-7&amp;_nc_sid=833d8c&amp;_nc_ohc=QzbcCUdwBbkQ7kNvwFyVucf&amp;_nc_oc=AdprZZmYLn-DZrUA2nS_ASR9Udwow2SFZxPofB4YFsi0Q3ZGduaxdf8sVkc9D3Rn2tg&amp;_nc_zt=23&amp;_nc_ht=scontent.fhnd7-1.fna&amp;_nc_gid=lTNhxLq23KefyvzPI3MtQw&amp;_nc_ss=7b2a8&amp;oh=00_AQLrIv-y4oLnaM2vnElbOWkp0gnSWlKI5KS992LT0idODA&amp;oe=6AA60AA4</t>
        </is>
      </c>
      <c r="N10" s="21" t="inlineStr">
        <is>
          <t>&lt;p&gt;Kem dưỡng ẩm Shiseido Aqualabel All-In-One phiên bản hộp đỏ.&lt;/p&gt;</t>
        </is>
      </c>
      <c r="O10" s="21" t="inlineStr">
        <is>
          <t>&lt;p&gt;Kem dưỡng da Shiseido Aqualabel All-In-One màu đỏ.&lt;/p&gt;&lt;ul&gt;&lt;li&gt;Thương hiệu: Shiseido Aqualabel&lt;/li&gt;&lt;/ul&gt;</t>
        </is>
      </c>
      <c r="P10" s="21" t="inlineStr">
        <is>
          <t>Thiếu tên dòng chi tiết, quy cách và giá. Ảnh có tay cầm.</t>
        </is>
      </c>
      <c r="Q10" s="21" t="n"/>
      <c r="R10" s="21" t="inlineStr">
        <is>
          <t>アクアレーベル オールインワン</t>
        </is>
      </c>
      <c r="S10" s="21" t="inlineStr">
        <is>
          <t>https://www.facebook.com/photo/?fbid=2205832116262291&amp;set=pcb.2205832509595585</t>
        </is>
      </c>
      <c r="T10" s="27" t="n">
        <v>44804</v>
      </c>
    </row>
    <row r="11" ht="110.1" customHeight="1">
      <c r="A11" s="20" t="n"/>
      <c r="B11" s="21" t="inlineStr">
        <is>
          <t>Kem Dưỡng Da Whitening Skincare Cream Hộp Xanh</t>
        </is>
      </c>
      <c r="C11" s="21" t="inlineStr">
        <is>
          <t>kem-duong-da-whitening-skincare-cream-hop-xanh</t>
        </is>
      </c>
      <c r="D11" s="21" t="inlineStr">
        <is>
          <t>KEM DƯỠNG DÀNH CHO MẶT ( FACE CREAM )</t>
        </is>
      </c>
      <c r="E11" s="30" t="n"/>
      <c r="F11" s="30" t="n"/>
      <c r="G11" s="30" t="n"/>
      <c r="H11" s="21" t="n"/>
      <c r="I11" s="21" t="n"/>
      <c r="J11" s="21" t="n"/>
      <c r="K11" s="21" t="inlineStr">
        <is>
          <t>Bản nháp</t>
        </is>
      </c>
      <c r="L11" s="21" t="inlineStr">
        <is>
          <t>whitening skincare cream, white face cream, kem dưỡng trắng, hộp xanh, dưỡng mặt</t>
        </is>
      </c>
      <c r="M11" s="21" t="inlineStr">
        <is>
          <t>https://scontent.fhnd7-1.fna.fbcdn.net/v/t39.30808-6/481037498_2911314569047372_360619029121388415_n.jpg?stp=cp6_dst-jpg_tt6&amp;cstp=mx720x960&amp;ctp=s720x960&amp;_nc_cat=101&amp;ccb=1-7&amp;_nc_sid=833d8c&amp;_nc_ohc=7n8XbAk5b-QQ7kNvwH5iUVX&amp;_nc_oc=AdrjNQ5_nf4pdBM3RuBzX-SYF2ZsUIbfN581yvCw2xiJbSj_cq0Jnd-re13tqy4N9Nc&amp;_nc_zt=23&amp;_nc_ht=scontent.fhnd7-1.fna&amp;_nc_gid=V_f-YszNFSQtGaGhStyQhQ&amp;_nc_ss=7b2a8&amp;oh=00_AQKjGYx7J7FIvQWaqtvoJ-7XDOgaJoLnfvonmzW43OtIyA&amp;oe=6AA607CA</t>
        </is>
      </c>
      <c r="N11" s="21" t="inlineStr">
        <is>
          <t>&lt;p&gt;Kem dưỡng da Whitening Skincare Cream trong hộp màu xanh.&lt;/p&gt;</t>
        </is>
      </c>
      <c r="O11" s="21" t="inlineStr">
        <is>
          <t>&lt;p&gt;Kem dưỡng da có dòng chữ “美白乃美人 / WHITE FACE CREAM” trên bao bì.&lt;/p&gt;&lt;p&gt;&lt;strong&gt;Công dụng&lt;/strong&gt;&lt;/p&gt;&lt;ul&gt;&lt;li&gt;Sản phẩm dưỡng da mặt được giới thiệu trong bài đăng hàng có sẵn.&lt;/li&gt;&lt;/ul&gt;</t>
        </is>
      </c>
      <c r="P11" s="21" t="inlineStr">
        <is>
          <t>Chưa xác định hãng và quy cách. Số 500 trên bao bì không được coi là giá bán trong caption.</t>
        </is>
      </c>
      <c r="Q11" s="21" t="n"/>
      <c r="R11" s="21" t="inlineStr">
        <is>
          <t>美白乃美人 WHITE FACE CREAM</t>
        </is>
      </c>
      <c r="S11" s="21" t="inlineStr">
        <is>
          <t>https://www.facebook.com/photo/?fbid=2205832359595600&amp;set=pcb.2205832509595585</t>
        </is>
      </c>
      <c r="T11" s="27" t="n">
        <v>44804</v>
      </c>
    </row>
    <row r="12" ht="110.1" customHeight="1">
      <c r="A12" s="20" t="n"/>
      <c r="B12" s="21" t="inlineStr">
        <is>
          <t>Nước Uống Trắng Da Shiseido Pure White</t>
        </is>
      </c>
      <c r="C12" s="21" t="inlineStr">
        <is>
          <t>nuoc-uong-trang-da-shiseido-pure-white</t>
        </is>
      </c>
      <c r="D12" s="21" t="inlineStr">
        <is>
          <t>THỰC PHẨM CHỨC NĂNG ( FUNCTIONAL FOODS )</t>
        </is>
      </c>
      <c r="E12" s="30" t="n"/>
      <c r="F12" s="30" t="n"/>
      <c r="G12" s="30" t="n"/>
      <c r="H12" s="21" t="n"/>
      <c r="I12" s="21" t="n"/>
      <c r="J12" s="21" t="n"/>
      <c r="K12" s="21" t="inlineStr">
        <is>
          <t>Bản nháp</t>
        </is>
      </c>
      <c r="L12" s="21" t="inlineStr">
        <is>
          <t>shiseido, pure white, nước uống trắng da, collagen, làm đẹp da</t>
        </is>
      </c>
      <c r="M12" s="21" t="inlineStr">
        <is>
          <t>https://www.facebook.com/photo/?fbid=2191509304361239&amp;set=pcb.2191509357694567</t>
        </is>
      </c>
      <c r="N12" s="21" t="inlineStr">
        <is>
          <t>&lt;p&gt;Nước uống làm đẹp da Shiseido Pure White của Nhật Bản.&lt;/p&gt;</t>
        </is>
      </c>
      <c r="O12" s="21" t="inlineStr">
        <is>
          <t>&lt;p&gt;Nước uống Shiseido Pure White được giới thiệu trong bài bán hàng nội địa Nhật.&lt;/p&gt;&lt;ul&gt;&lt;li&gt;Thương hiệu: Shiseido&lt;/li&gt;&lt;li&gt;Dạng dùng: nước uống&lt;/li&gt;&lt;/ul&gt;</t>
        </is>
      </c>
      <c r="P12" s="21" t="inlineStr">
        <is>
          <t>Chưa thấy giá và quy cách đóng hộp rõ trong caption; ảnh tạm dùng liên kết ảnh Facebook.</t>
        </is>
      </c>
      <c r="Q12" s="21" t="n"/>
      <c r="R12" s="21" t="inlineStr">
        <is>
          <t>資生堂 ピュアホワイト</t>
        </is>
      </c>
      <c r="S12" s="21" t="inlineStr">
        <is>
          <t>https://www.facebook.com/photo/?fbid=2191509304361239&amp;set=pcb.2191509357694567</t>
        </is>
      </c>
      <c r="T12" s="27" t="n">
        <v>44785</v>
      </c>
    </row>
    <row r="13" ht="110.1" customHeight="1">
      <c r="A13" s="20" t="n"/>
      <c r="B13" s="21" t="inlineStr">
        <is>
          <t>Miếng Dán Chân Kenko Nhật Bản</t>
        </is>
      </c>
      <c r="C13" s="21" t="inlineStr">
        <is>
          <t>mieng-dan-chan-kenko-nhat-ban</t>
        </is>
      </c>
      <c r="D13" s="21" t="inlineStr">
        <is>
          <t>CHĂM SÓC SỨC KHỎE</t>
        </is>
      </c>
      <c r="E13" s="30" t="n"/>
      <c r="F13" s="30" t="n"/>
      <c r="G13" s="30" t="n"/>
      <c r="H13" s="21" t="n"/>
      <c r="I13" s="21" t="n"/>
      <c r="J13" s="21" t="n"/>
      <c r="K13" s="21" t="inlineStr">
        <is>
          <t>Bản nháp</t>
        </is>
      </c>
      <c r="L13" s="21" t="inlineStr">
        <is>
          <t>kenko, miếng dán chân, foot patch, hàng nhật, chăm sóc chân</t>
        </is>
      </c>
      <c r="M13" s="21" t="n"/>
      <c r="N13" s="21" t="inlineStr">
        <is>
          <t>&lt;p&gt;Miếng dán lòng bàn chân Kenko của Nhật Bản.&lt;/p&gt;</t>
        </is>
      </c>
      <c r="O13" s="21" t="inlineStr">
        <is>
          <t>&lt;p&gt;Miếng dán chân Kenko được giới thiệu theo dạng hộp trong bài bán hàng.&lt;/p&gt;</t>
        </is>
      </c>
      <c r="P13" s="21" t="inlineStr">
        <is>
          <t>Caption ghi còn khoảng 20 hộp; chưa thấy giá, quy cách và liên kết bài riêng.</t>
        </is>
      </c>
      <c r="Q13" s="21" t="n"/>
      <c r="R13" s="21" t="inlineStr">
        <is>
          <t>健康足裏シート</t>
        </is>
      </c>
      <c r="S13" s="21" t="inlineStr">
        <is>
          <t>https://www.facebook.com/le.trang.77582359</t>
        </is>
      </c>
      <c r="T13" s="27" t="n">
        <v>44776</v>
      </c>
    </row>
    <row r="14" ht="110.1" customHeight="1">
      <c r="A14" s="20" t="n"/>
      <c r="B14" s="21" t="inlineStr">
        <is>
          <t>Viên Uống Điều Hòa Kinh Nguyệt Kobayashi</t>
        </is>
      </c>
      <c r="C14" s="21" t="inlineStr">
        <is>
          <t>vien-uong-dieu-hoa-kinh-nguyet-kobayashi</t>
        </is>
      </c>
      <c r="D14" s="21" t="inlineStr">
        <is>
          <t>GỐC CHỊ EM CHÚNG MÌNH ( WOMEN ); THỰC PHẨM CHỨC NĂNG ( FUNCTIONAL FOODS )</t>
        </is>
      </c>
      <c r="E14" s="30" t="n"/>
      <c r="F14" s="30" t="n"/>
      <c r="G14" s="30" t="n"/>
      <c r="H14" s="21" t="n"/>
      <c r="I14" s="21" t="n"/>
      <c r="J14" s="21" t="n"/>
      <c r="K14" s="21" t="inlineStr">
        <is>
          <t>Bản nháp</t>
        </is>
      </c>
      <c r="L14" s="21" t="inlineStr">
        <is>
          <t>kobayashi, điều hòa kinh nguyệt, phụ nữ, nội tiết, hàng nhật</t>
        </is>
      </c>
      <c r="M14" s="21" t="n"/>
      <c r="N14" s="21" t="inlineStr">
        <is>
          <t>&lt;p&gt;Viên uống Kobayashi dành cho phụ nữ, được giới thiệu để hỗ trợ chu kỳ kinh nguyệt.&lt;/p&gt;</t>
        </is>
      </c>
      <c r="O14" s="21" t="inlineStr">
        <is>
          <t>&lt;p&gt;Sản phẩm Kobayashi dành cho phụ nữ trong bài bán hàng ngày 23-07-2022.&lt;/p&gt;</t>
        </is>
      </c>
      <c r="P14" s="21" t="inlineStr">
        <is>
          <t>Chưa xác định đầy đủ tên dòng, quy cách và giá từ phần chữ hiển thị.</t>
        </is>
      </c>
      <c r="Q14" s="21" t="n"/>
      <c r="R14" s="21" t="inlineStr">
        <is>
          <t>小林製薬 女性向け医薬品</t>
        </is>
      </c>
      <c r="S14" s="21" t="inlineStr">
        <is>
          <t>https://www.facebook.com/le.trang.77582359</t>
        </is>
      </c>
      <c r="T14" s="27" t="n">
        <v>44765</v>
      </c>
    </row>
    <row r="15" ht="110.1" customHeight="1">
      <c r="A15" s="20" t="n"/>
      <c r="B15" s="21" t="inlineStr">
        <is>
          <t>Kem Tẩy Lông Veet Nhật Bản 150g</t>
        </is>
      </c>
      <c r="C15" s="21" t="inlineStr">
        <is>
          <t>kem-tay-long-veet-nhat-ban-150g</t>
        </is>
      </c>
      <c r="D15" s="21" t="inlineStr">
        <is>
          <t>CHĂM SÓC CƠ THỂ</t>
        </is>
      </c>
      <c r="E15" s="30" t="n"/>
      <c r="F15" s="30" t="n"/>
      <c r="G15" s="30" t="n"/>
      <c r="H15" s="21" t="n"/>
      <c r="I15" s="21" t="n"/>
      <c r="J15" s="21" t="n"/>
      <c r="K15" s="21" t="inlineStr">
        <is>
          <t>Bản nháp</t>
        </is>
      </c>
      <c r="L15" s="21" t="inlineStr">
        <is>
          <t>veet, kem tẩy lông, 150g, body care, hàng nhật</t>
        </is>
      </c>
      <c r="M15" s="21" t="n"/>
      <c r="N15" s="21" t="inlineStr">
        <is>
          <t>&lt;p&gt;Kem tẩy lông Veet nội địa Nhật, tuýp 150g kèm mút.&lt;/p&gt;</t>
        </is>
      </c>
      <c r="O15" s="21" t="inlineStr">
        <is>
          <t>&lt;p&gt;Kem tẩy lông Veet dùng cho cơ thể.&lt;/p&gt;&lt;ul&gt;&lt;li&gt;Quy cách: 150g&lt;/li&gt;&lt;li&gt;Phụ kiện: mút dùng kèm theo thông tin bài đăng&lt;/li&gt;&lt;/ul&gt;</t>
        </is>
      </c>
      <c r="P15" s="21" t="inlineStr">
        <is>
          <t>Thiếu giá và liên kết bài riêng.</t>
        </is>
      </c>
      <c r="Q15" s="21" t="n"/>
      <c r="R15" s="21" t="inlineStr">
        <is>
          <t>ヴィート 除毛クリーム 150g</t>
        </is>
      </c>
      <c r="S15" s="21" t="inlineStr">
        <is>
          <t>https://www.facebook.com/le.trang.77582359</t>
        </is>
      </c>
      <c r="T15" s="27" t="n">
        <v>44765</v>
      </c>
    </row>
    <row r="16" ht="110.1" customHeight="1">
      <c r="A16" s="20" t="n"/>
      <c r="B16" s="21" t="inlineStr">
        <is>
          <t>Viên Uống Giảm Mỡ Bụng Onaka</t>
        </is>
      </c>
      <c r="C16" s="21" t="inlineStr">
        <is>
          <t>vien-uong-giam-mo-bung-onaka</t>
        </is>
      </c>
      <c r="D16" s="21" t="inlineStr">
        <is>
          <t>GIẢM CÂN ( DIET ); THỰC PHẨM CHỨC NĂNG ( FUNCTIONAL FOODS )</t>
        </is>
      </c>
      <c r="E16" s="30" t="n"/>
      <c r="F16" s="30" t="n"/>
      <c r="G16" s="30" t="n"/>
      <c r="H16" s="21" t="n"/>
      <c r="I16" s="21" t="n"/>
      <c r="J16" s="21" t="n"/>
      <c r="K16" s="21" t="inlineStr">
        <is>
          <t>Bản nháp</t>
        </is>
      </c>
      <c r="L16" s="21" t="inlineStr">
        <is>
          <t>onaka, giảm mỡ bụng, viên uống, diet, hàng nhật</t>
        </is>
      </c>
      <c r="M16" s="21" t="inlineStr">
        <is>
          <t>https://www.facebook.com/photo/?fbid=2176696805842489&amp;set=pcb.2176696875842482</t>
        </is>
      </c>
      <c r="N16" s="21" t="inlineStr">
        <is>
          <t>&lt;p&gt;Viên uống Onaka được giới thiệu cho nhu cầu kiểm soát mỡ vùng bụng.&lt;/p&gt;</t>
        </is>
      </c>
      <c r="O16" s="21" t="inlineStr">
        <is>
          <t>&lt;p&gt;Viên uống Onaka của Nhật Bản.&lt;/p&gt;&lt;ul&gt;&lt;li&gt;Dạng dùng: viên uống&lt;/li&gt;&lt;/ul&gt;</t>
        </is>
      </c>
      <c r="P16" s="21" t="inlineStr">
        <is>
          <t>Chưa thấy hãng, quy cách và giá rõ; ảnh tạm dùng liên kết ảnh Facebook.</t>
        </is>
      </c>
      <c r="Q16" s="21" t="n"/>
      <c r="R16" s="21" t="inlineStr">
        <is>
          <t>おなか脂肪サプリ</t>
        </is>
      </c>
      <c r="S16" s="21" t="inlineStr">
        <is>
          <t>https://www.facebook.com/photo/?fbid=2176696805842489&amp;set=pcb.2176696875842482</t>
        </is>
      </c>
      <c r="T16" s="27" t="n">
        <v>44765</v>
      </c>
    </row>
    <row r="17" ht="110.1" customHeight="1">
      <c r="A17" s="20" t="n"/>
      <c r="B17" s="21" t="inlineStr">
        <is>
          <t>Kẹo Canxi Và Lợi Khuẩn Unimat Riken 90 Viên</t>
        </is>
      </c>
      <c r="C17" s="21" t="inlineStr">
        <is>
          <t>keo-canxi-loi-khuan-unimat-riken-90-vien</t>
        </is>
      </c>
      <c r="D17" s="21" t="inlineStr">
        <is>
          <t>MOM AND BABY</t>
        </is>
      </c>
      <c r="E17" s="30" t="n"/>
      <c r="F17" s="30" t="n"/>
      <c r="G17" s="30" t="n"/>
      <c r="H17" s="21" t="n"/>
      <c r="I17" s="21" t="n"/>
      <c r="J17" s="21" t="n"/>
      <c r="K17" s="21" t="inlineStr">
        <is>
          <t>Bản nháp</t>
        </is>
      </c>
      <c r="L17" s="21" t="inlineStr">
        <is>
          <t>unimat riken, canxi, lợi khuẩn, kẹo cho bé, 90 viên, vị sữa chua</t>
        </is>
      </c>
      <c r="M17" s="21" t="inlineStr">
        <is>
          <t>https://www.facebook.com/photo/?fbid=2176695962509240</t>
        </is>
      </c>
      <c r="N17" s="21" t="inlineStr">
        <is>
          <t>&lt;p&gt;Kẹo bổ sung canxi và lợi khuẩn Unimat Riken, vị sữa chua, 90 viên.&lt;/p&gt;</t>
        </is>
      </c>
      <c r="O17" s="21" t="inlineStr">
        <is>
          <t>&lt;p&gt;Sản phẩm dạng kẹo dành cho trẻ em của Unimat Riken.&lt;/p&gt;&lt;ul&gt;&lt;li&gt;Quy cách: 90 viên&lt;/li&gt;&lt;li&gt;Hương vị: sữa chua&lt;/li&gt;&lt;li&gt;Đối tượng được bài đăng giới thiệu: trẻ từ 2 tuổi&lt;/li&gt;&lt;/ul&gt;</t>
        </is>
      </c>
      <c r="P17" s="21" t="inlineStr">
        <is>
          <t>Thiếu giá; ảnh tạm dùng liên kết ảnh Facebook.</t>
        </is>
      </c>
      <c r="Q17" s="21" t="n"/>
      <c r="R17" s="21" t="inlineStr">
        <is>
          <t>ユニマットリケン カルシウム乳酸菌 90粒</t>
        </is>
      </c>
      <c r="S17" s="21" t="inlineStr">
        <is>
          <t>https://www.facebook.com/photo/?fbid=2176695962509240</t>
        </is>
      </c>
      <c r="T17" s="27" t="n">
        <v>44765</v>
      </c>
    </row>
    <row r="18" ht="110.1" customHeight="1">
      <c r="A18" s="20" t="n"/>
      <c r="B18" s="21" t="inlineStr">
        <is>
          <t>Nước Uống Nhau Thai Collagen DR Placen 40000</t>
        </is>
      </c>
      <c r="C18" s="21" t="inlineStr">
        <is>
          <t>nuoc-uong-nhau-thai-collagen-dr-placen-40000</t>
        </is>
      </c>
      <c r="D18" s="21" t="inlineStr">
        <is>
          <t>THỰC PHẨM CHỨC NĂNG ( FUNCTIONAL FOODS )</t>
        </is>
      </c>
      <c r="E18" s="30" t="n"/>
      <c r="F18" s="30" t="n"/>
      <c r="G18" s="30" t="n"/>
      <c r="H18" s="21" t="n"/>
      <c r="I18" s="21" t="n"/>
      <c r="J18" s="21" t="n"/>
      <c r="K18" s="21" t="inlineStr">
        <is>
          <t>Bản nháp</t>
        </is>
      </c>
      <c r="L18" s="21" t="inlineStr">
        <is>
          <t>dr placen 40000, nhau thai ngựa, collagen cá hồi, nước uống làm đẹp, hàng nhật</t>
        </is>
      </c>
      <c r="M18" s="21" t="inlineStr">
        <is>
          <t>https://www.facebook.com/photo/?fbid=2176694495842720&amp;set=pcb.2176694589176044</t>
        </is>
      </c>
      <c r="N18" s="21" t="inlineStr">
        <is>
          <t>&lt;p&gt;Nước uống DR Placen 40000 chứa nhau thai ngựa và collagen cá hồi theo thông tin bài đăng.&lt;/p&gt;</t>
        </is>
      </c>
      <c r="O18" s="21" t="inlineStr">
        <is>
          <t>&lt;p&gt;Nước uống làm đẹp DR Placen 40000.&lt;/p&gt;&lt;ul&gt;&lt;li&gt;Nhau thai ngựa: 30.000mg theo caption&lt;/li&gt;&lt;li&gt;Collagen cá hồi: 300mg theo caption&lt;/li&gt;&lt;/ul&gt;</t>
        </is>
      </c>
      <c r="P18" s="21" t="inlineStr">
        <is>
          <t>Thiếu giá và quy cách hộp; ảnh tạm dùng liên kết ảnh Facebook.</t>
        </is>
      </c>
      <c r="Q18" s="21" t="n"/>
      <c r="R18" s="21" t="inlineStr">
        <is>
          <t>DR.PLACEN 40000</t>
        </is>
      </c>
      <c r="S18" s="21" t="inlineStr">
        <is>
          <t>https://www.facebook.com/photo/?fbid=2176694495842720&amp;set=pcb.2176694589176044</t>
        </is>
      </c>
      <c r="T18" s="27" t="n">
        <v>44765</v>
      </c>
    </row>
    <row r="19" ht="110.1" customHeight="1">
      <c r="A19" s="20" t="n"/>
      <c r="B19" s="21" t="inlineStr">
        <is>
          <t>Sữa Rửa Mặt Shiseido Aqualabel</t>
        </is>
      </c>
      <c r="C19" s="21" t="inlineStr">
        <is>
          <t>sua-rua-mat-shiseido-aqualabel</t>
        </is>
      </c>
      <c r="D19" s="21" t="inlineStr">
        <is>
          <t>SỮA RỬA MẶT</t>
        </is>
      </c>
      <c r="E19" s="30" t="n"/>
      <c r="F19" s="30" t="n"/>
      <c r="G19" s="30" t="n"/>
      <c r="H19" s="21" t="n"/>
      <c r="I19" s="21" t="n"/>
      <c r="J19" s="21" t="n"/>
      <c r="K19" s="21" t="inlineStr">
        <is>
          <t>Bản nháp</t>
        </is>
      </c>
      <c r="L19" s="21" t="inlineStr">
        <is>
          <t>shiseido, aqualabel, sữa rửa mặt, làm sạch da, hàng nhật</t>
        </is>
      </c>
      <c r="M19" s="21" t="inlineStr">
        <is>
          <t>https://www.facebook.com/photo/?fbid=2176693642509472&amp;set=pcb.2176693705842799</t>
        </is>
      </c>
      <c r="N19" s="21" t="inlineStr">
        <is>
          <t>&lt;p&gt;Sữa rửa mặt Aqualabel của Shiseido.&lt;/p&gt;</t>
        </is>
      </c>
      <c r="O19" s="21" t="inlineStr">
        <is>
          <t>&lt;p&gt;Sản phẩm làm sạch da mặt thuộc dòng Aqualabel Shiseido.&lt;/p&gt;</t>
        </is>
      </c>
      <c r="P19" s="21" t="inlineStr">
        <is>
          <t>Chưa xác định biến thể, quy cách và giá; ảnh tạm dùng liên kết ảnh Facebook.</t>
        </is>
      </c>
      <c r="Q19" s="21" t="n"/>
      <c r="R19" s="21" t="inlineStr">
        <is>
          <t>資生堂 アクアレーベル 洗顔</t>
        </is>
      </c>
      <c r="S19" s="21" t="inlineStr">
        <is>
          <t>https://www.facebook.com/photo/?fbid=2176693642509472&amp;set=pcb.2176693705842799</t>
        </is>
      </c>
      <c r="T19" s="27" t="n">
        <v>44765</v>
      </c>
    </row>
    <row r="20" ht="110.1" customHeight="1">
      <c r="A20" s="20" t="n"/>
      <c r="B20" s="21" t="inlineStr">
        <is>
          <t>Viên Uống Bổ Phổi Kobayashi 80 Viên</t>
        </is>
      </c>
      <c r="C20" s="21" t="inlineStr">
        <is>
          <t>vien-uong-bo-phoi-kobayashi-80-vien</t>
        </is>
      </c>
      <c r="D20" s="21" t="inlineStr">
        <is>
          <t>THỰC PHẨM CHỨC NĂNG ( FUNCTIONAL FOODS )</t>
        </is>
      </c>
      <c r="E20" s="30" t="n"/>
      <c r="F20" s="30" t="n"/>
      <c r="G20" s="30" t="n"/>
      <c r="H20" s="21" t="n"/>
      <c r="I20" s="21" t="n"/>
      <c r="J20" s="21" t="n"/>
      <c r="K20" s="21" t="inlineStr">
        <is>
          <t>Bản nháp</t>
        </is>
      </c>
      <c r="L20" s="21" t="inlineStr">
        <is>
          <t>kobayashi, bổ phổi, 80 viên, hô hấp, hàng nhật</t>
        </is>
      </c>
      <c r="M20" s="21" t="inlineStr">
        <is>
          <t>https://www.facebook.com/photo/?fbid=2176692179176285&amp;set=pcb.2176692242509612</t>
        </is>
      </c>
      <c r="N20" s="21" t="inlineStr">
        <is>
          <t>&lt;p&gt;Viên uống Kobayashi được bài đăng giới thiệu cho nhu cầu chăm sóc đường hô hấp.&lt;/p&gt;</t>
        </is>
      </c>
      <c r="O20" s="21" t="inlineStr">
        <is>
          <t>&lt;p&gt;Sản phẩm dạng viên của Kobayashi.&lt;/p&gt;&lt;ul&gt;&lt;li&gt;Quy cách: 80 viên&lt;/li&gt;&lt;/ul&gt;</t>
        </is>
      </c>
      <c r="P20" s="21" t="inlineStr">
        <is>
          <t>Tên chuẩn tiếng Nhật và giá chưa đọc rõ; ảnh tạm dùng liên kết ảnh Facebook.</t>
        </is>
      </c>
      <c r="Q20" s="21" t="n"/>
      <c r="R20" s="21" t="inlineStr">
        <is>
          <t>小林製薬 肺 80錠</t>
        </is>
      </c>
      <c r="S20" s="21" t="inlineStr">
        <is>
          <t>https://www.facebook.com/photo/?fbid=2176692179176285&amp;set=pcb.2176692242509612</t>
        </is>
      </c>
      <c r="T20" s="27" t="n">
        <v>44765</v>
      </c>
    </row>
    <row r="21" ht="110.1" customHeight="1">
      <c r="A21" s="20" t="n"/>
      <c r="B21" s="21" t="inlineStr">
        <is>
          <t>Kem Dưỡng Shiseido Aqualabel 5 Trong 1</t>
        </is>
      </c>
      <c r="C21" s="21" t="inlineStr">
        <is>
          <t>kem-duong-shiseido-aqualabel-5-trong-1</t>
        </is>
      </c>
      <c r="D21" s="21" t="inlineStr">
        <is>
          <t>KEM DƯỠNG DÀNH CHO MẶT ( FACE CREAM )</t>
        </is>
      </c>
      <c r="E21" s="30" t="n"/>
      <c r="F21" s="30" t="n"/>
      <c r="G21" s="30" t="n"/>
      <c r="H21" s="21" t="n"/>
      <c r="I21" s="21" t="n"/>
      <c r="J21" s="21" t="n"/>
      <c r="K21" s="21" t="inlineStr">
        <is>
          <t>Bản nháp</t>
        </is>
      </c>
      <c r="L21" s="21" t="inlineStr">
        <is>
          <t>shiseido, aqualabel, 5 trong 1, all in one, kem dưỡng da</t>
        </is>
      </c>
      <c r="M21" s="21" t="inlineStr">
        <is>
          <t>https://www.facebook.com/photo/?fbid=2175205355991634&amp;set=pcb.2175205462658290</t>
        </is>
      </c>
      <c r="N21" s="21" t="inlineStr">
        <is>
          <t>&lt;p&gt;Kem dưỡng Aqualabel All-In-One thay thế nhiều bước chăm sóc da.&lt;/p&gt;</t>
        </is>
      </c>
      <c r="O21" s="21" t="inlineStr">
        <is>
          <t>&lt;p&gt;Kem dưỡng Shiseido Aqualabel được giới thiệu với 5 công dụng trong một sản phẩm.&lt;/p&gt;</t>
        </is>
      </c>
      <c r="P21" s="21" t="inlineStr">
        <is>
          <t>Chưa xác định biến thể, quy cách và giá; ảnh tạm dùng liên kết ảnh Facebook.</t>
        </is>
      </c>
      <c r="Q21" s="21" t="n"/>
      <c r="R21" s="21" t="inlineStr">
        <is>
          <t>資生堂 アクアレーベル オールインワン</t>
        </is>
      </c>
      <c r="S21" s="21" t="inlineStr">
        <is>
          <t>https://www.facebook.com/photo/?fbid=2175205355991634&amp;set=pcb.2175205462658290</t>
        </is>
      </c>
      <c r="T21" s="27" t="n">
        <v>44763</v>
      </c>
    </row>
    <row r="22" ht="110.1" customHeight="1">
      <c r="A22" s="20" t="n"/>
      <c r="B22" s="21" t="inlineStr">
        <is>
          <t>Viên Uống Chống Nắng Fine Japan UV 30 Viên</t>
        </is>
      </c>
      <c r="C22" s="21" t="inlineStr">
        <is>
          <t>vien-uong-chong-nang-fine-japan-uv-30-vien</t>
        </is>
      </c>
      <c r="D22" s="21" t="inlineStr">
        <is>
          <t>CHỐNG NẮNG ( UV ); THỰC PHẨM CHỨC NĂNG ( FUNCTIONAL FOODS )</t>
        </is>
      </c>
      <c r="E22" s="30" t="n"/>
      <c r="F22" s="30" t="n"/>
      <c r="G22" s="30" t="n"/>
      <c r="H22" s="21" t="n"/>
      <c r="I22" s="21" t="n"/>
      <c r="J22" s="21" t="n"/>
      <c r="K22" s="21" t="inlineStr">
        <is>
          <t>Bản nháp</t>
        </is>
      </c>
      <c r="L22" s="21" t="inlineStr">
        <is>
          <t>fine japan, viên uống chống nắng, uv supplement, 30 viên, dứa, hàng nhật</t>
        </is>
      </c>
      <c r="M22" s="21" t="inlineStr">
        <is>
          <t>https://scontent.fhnd7-1.fna.fbcdn.net/v/t39.30808-6/480756124_2909692999209529_6503004898572302714_n.jpg?stp=dst-jpg_tt6&amp;cstp=mx720x960&amp;ctp=s720x960&amp;_nc_cat=101&amp;ccb=1-7&amp;_nc_sid=833d8c&amp;_nc_ohc=Y-cI4K4Yav8Q7kNvwHj2tia&amp;_nc_oc=AdqZn_I-pm-GHDdmL2usI8tHeRPDeYtLk7AmK5Uo3nzcSjMgQEUGC-i4V2VYxLRDUKU&amp;_nc_zt=23&amp;_nc_ht=scontent.fhnd7-1.fna&amp;_nc_gid=Haqrz469EWM39tBRGnLVYA&amp;_nc_ss=7b2a8&amp;oh=00_AQKv8i3-TkDxQ8dEcXqSC4LKFxXN41nDnt4yNj6elFMCLA&amp;oe=6AA63486</t>
        </is>
      </c>
      <c r="N22" s="21" t="inlineStr">
        <is>
          <t>&lt;p&gt;Viên uống Fine Japan UV, túi 30 viên dùng trong 30 ngày.&lt;/p&gt;</t>
        </is>
      </c>
      <c r="O22" s="21" t="inlineStr">
        <is>
          <t>&lt;p&gt;Viên uống Fine Japan UV dạng viên nang mềm.&lt;/p&gt;&lt;ul&gt;&lt;li&gt;Quy cách: 30 viên&lt;/li&gt;&lt;li&gt;Liều dùng ghi trên bao bì: 1 viên mỗi ngày&lt;/li&gt;&lt;/ul&gt;</t>
        </is>
      </c>
      <c r="P22" s="21" t="inlineStr">
        <is>
          <t>Ảnh Facebook cho thấy rõ hãng Fine Japan và quy cách 30 ngày; chưa thấy giá.</t>
        </is>
      </c>
      <c r="Q22" s="21" t="n"/>
      <c r="R22" s="21" t="inlineStr">
        <is>
          <t>ファイン UV 気にならないサプリ 30粒</t>
        </is>
      </c>
      <c r="S22" s="21" t="inlineStr">
        <is>
          <t>https://www.facebook.com/le.trang.77582359/posts/pfbid032m4xNhrG9jWFieTM9JF9TDEqv1Rs8nD3fKryP8Y1ChhNQiLT7GgiwA4yYkB1rZcol</t>
        </is>
      </c>
      <c r="T22" s="27" t="n">
        <v>44763</v>
      </c>
    </row>
    <row r="23" ht="110.1" customHeight="1">
      <c r="A23" s="20" t="n"/>
      <c r="B23" s="21" t="inlineStr">
        <is>
          <t>Viên Uống Đông Trùng Hạ Thảo Royal Gold Cordyceps 420 Viên</t>
        </is>
      </c>
      <c r="C23" s="21" t="inlineStr">
        <is>
          <t>vien-uong-dong-trung-ha-thao-royal-gold-cordyceps-420-vien</t>
        </is>
      </c>
      <c r="D23" s="21" t="inlineStr">
        <is>
          <t>THỰC PHẨM CHỨC NĂNG ( FUNCTIONAL FOODS )</t>
        </is>
      </c>
      <c r="E23" s="30" t="n"/>
      <c r="F23" s="30" t="n"/>
      <c r="G23" s="30" t="n"/>
      <c r="H23" s="21" t="n"/>
      <c r="I23" s="21" t="n"/>
      <c r="J23" s="21" t="n"/>
      <c r="K23" s="21" t="inlineStr">
        <is>
          <t>Bản nháp</t>
        </is>
      </c>
      <c r="L23" s="21" t="inlineStr">
        <is>
          <t>royal gold cordyceps, tohchukasou, đông trùng hạ thảo, 420 viên, hàng nhật</t>
        </is>
      </c>
      <c r="M23" s="21" t="inlineStr">
        <is>
          <t>https://www.facebook.com/photo/?fbid=2174487932730043&amp;set=pcb.2174488002730036</t>
        </is>
      </c>
      <c r="N23" s="21" t="inlineStr">
        <is>
          <t>&lt;p&gt;Viên uống Royal Gold Cordyceps Tohchukasou, quy cách 420 viên.&lt;/p&gt;</t>
        </is>
      </c>
      <c r="O23" s="21" t="inlineStr">
        <is>
          <t>&lt;p&gt;Sản phẩm đông trùng hạ thảo dạng viên của Nhật Bản.&lt;/p&gt;&lt;ul&gt;&lt;li&gt;Quy cách: 420 viên&lt;/li&gt;&lt;/ul&gt;</t>
        </is>
      </c>
      <c r="P23" s="21" t="inlineStr">
        <is>
          <t>Thiếu hãng sản xuất chi tiết và giá; ảnh tạm dùng liên kết ảnh Facebook.</t>
        </is>
      </c>
      <c r="Q23" s="21" t="n"/>
      <c r="R23" s="21" t="inlineStr">
        <is>
          <t>ロイヤルゴールド 冬虫夏草 420粒</t>
        </is>
      </c>
      <c r="S23" s="21" t="inlineStr">
        <is>
          <t>https://www.facebook.com/photo/?fbid=2174487932730043&amp;set=pcb.2174488002730036</t>
        </is>
      </c>
      <c r="T23" s="27" t="n">
        <v>44762</v>
      </c>
    </row>
    <row r="24" ht="110.1" customHeight="1">
      <c r="A24" s="20" t="n"/>
      <c r="B24" s="21" t="inlineStr">
        <is>
          <t>Bộ Dầu Gội Xả Tigi Đỏ 750ml x 2 Chai</t>
        </is>
      </c>
      <c r="C24" s="21" t="inlineStr">
        <is>
          <t>bo-dau-goi-xa-tigi-do-750ml-x-2-chai</t>
        </is>
      </c>
      <c r="D24" s="21" t="inlineStr">
        <is>
          <t>DẦU GỘI - DẦU XẢ</t>
        </is>
      </c>
      <c r="E24" s="30" t="n"/>
      <c r="F24" s="30" t="n"/>
      <c r="G24" s="30" t="n"/>
      <c r="H24" s="21" t="n"/>
      <c r="I24" s="21" t="n"/>
      <c r="J24" s="21" t="n"/>
      <c r="K24" s="21" t="inlineStr">
        <is>
          <t>Bản nháp</t>
        </is>
      </c>
      <c r="L24" s="21" t="inlineStr">
        <is>
          <t>tigi đỏ, bed head, dầu gội, dầu xả, 750ml, phục hồi tóc</t>
        </is>
      </c>
      <c r="M24" s="21" t="inlineStr">
        <is>
          <t>https://www.facebook.com/photo/?fbid=2174487276063442&amp;set=pcb.2174487389396764</t>
        </is>
      </c>
      <c r="N24" s="21" t="inlineStr">
        <is>
          <t>&lt;p&gt;Bộ dầu gội và dầu xả Tigi đỏ, mỗi chai 750ml.&lt;/p&gt;</t>
        </is>
      </c>
      <c r="O24" s="21" t="inlineStr">
        <is>
          <t>&lt;p&gt;Bộ chăm sóc tóc Tigi màu đỏ gồm một chai dầu gội và một chai dầu xả.&lt;/p&gt;&lt;ul&gt;&lt;li&gt;Quy cách: 750ml x 2 chai&lt;/li&gt;&lt;/ul&gt;</t>
        </is>
      </c>
      <c r="P24" s="21" t="inlineStr">
        <is>
          <t>Không thấy giá trong caption; ảnh tạm dùng liên kết ảnh Facebook.</t>
        </is>
      </c>
      <c r="Q24" s="21" t="n"/>
      <c r="R24" s="21" t="inlineStr">
        <is>
          <t>TIGI BED HEAD シャンプー コンディショナー 750ml</t>
        </is>
      </c>
      <c r="S24" s="21" t="inlineStr">
        <is>
          <t>https://www.facebook.com/photo/?fbid=2174487276063442&amp;set=pcb.2174487389396764</t>
        </is>
      </c>
      <c r="T24" s="27" t="n">
        <v>44762</v>
      </c>
    </row>
    <row r="25" ht="110.1" customHeight="1">
      <c r="A25" s="20" t="n"/>
      <c r="B25" s="21" t="inlineStr">
        <is>
          <t>Sữa Morinaga Kodomilk Dạng Gói</t>
        </is>
      </c>
      <c r="C25" s="21" t="inlineStr">
        <is>
          <t>sua-morinaga-kodomilk-dang-goi</t>
        </is>
      </c>
      <c r="D25" s="21" t="inlineStr">
        <is>
          <t>MOM AND BABY; THỰC PHẨM - ĐỒ UỐNG ( FOOD &amp; DRINK )</t>
        </is>
      </c>
      <c r="E25" s="30" t="n"/>
      <c r="F25" s="30" t="n"/>
      <c r="G25" s="30" t="n"/>
      <c r="H25" s="21" t="n"/>
      <c r="I25" s="21" t="n"/>
      <c r="J25" s="21" t="n"/>
      <c r="K25" s="21" t="inlineStr">
        <is>
          <t>Bản nháp</t>
        </is>
      </c>
      <c r="L25" s="21" t="inlineStr">
        <is>
          <t>morinaga, kodomilk, sữa dinh dưỡng trẻ em, dạng gói, hàng nhật</t>
        </is>
      </c>
      <c r="M25" s="21" t="inlineStr">
        <is>
          <t>https://www.facebook.com/photo/?fbid=2174486302730206&amp;set=pcb.2174486372730199</t>
        </is>
      </c>
      <c r="N25" s="21" t="inlineStr">
        <is>
          <t>&lt;p&gt;Sữa dinh dưỡng Morinaga Kodomilk dạng gói dành cho trẻ em.&lt;/p&gt;</t>
        </is>
      </c>
      <c r="O25" s="21" t="inlineStr">
        <is>
          <t>&lt;p&gt;Sữa Morinaga Kodomilk dạng gói tiện dùng.&lt;/p&gt;&lt;ul&gt;&lt;li&gt;Mỗi gói pha khoảng 100ml theo caption&lt;/li&gt;&lt;li&gt;Bài đăng giới thiệu dùng 1–2 gói mỗi ngày&lt;/li&gt;&lt;/ul&gt;</t>
        </is>
      </c>
      <c r="P25" s="21" t="inlineStr">
        <is>
          <t>Chưa đọc đủ số gói trong hộp và giá.</t>
        </is>
      </c>
      <c r="Q25" s="21" t="n"/>
      <c r="R25" s="21" t="inlineStr">
        <is>
          <t>森永 こどミル</t>
        </is>
      </c>
      <c r="S25" s="21" t="inlineStr">
        <is>
          <t>https://www.facebook.com/photo/?fbid=2174486302730206&amp;set=pcb.2174486372730199</t>
        </is>
      </c>
      <c r="T25" s="27" t="n">
        <v>44761</v>
      </c>
    </row>
    <row r="26" ht="110.1" customHeight="1">
      <c r="A26" s="20" t="n"/>
      <c r="B26" s="21" t="inlineStr">
        <is>
          <t>Nước Uống Collagen HIFU 100000mg</t>
        </is>
      </c>
      <c r="C26" s="21" t="inlineStr">
        <is>
          <t>nuoc-uong-collagen-hifu-100000mg</t>
        </is>
      </c>
      <c r="D26" s="21" t="inlineStr">
        <is>
          <t>THỰC PHẨM CHỨC NĂNG ( FUNCTIONAL FOODS )</t>
        </is>
      </c>
      <c r="E26" s="30" t="n"/>
      <c r="F26" s="30" t="n"/>
      <c r="G26" s="30" t="n"/>
      <c r="H26" s="21" t="n"/>
      <c r="I26" s="21" t="n"/>
      <c r="J26" s="21" t="n"/>
      <c r="K26" s="21" t="inlineStr">
        <is>
          <t>Bản nháp</t>
        </is>
      </c>
      <c r="L26" s="21" t="inlineStr">
        <is>
          <t>collagen hifu, 100000mg, nước uống collagen, làm đẹp da, hàng nhật</t>
        </is>
      </c>
      <c r="M26" s="21" t="inlineStr">
        <is>
          <t>https://www.facebook.com/photo/?fbid=2172941686218001&amp;set=pcb.2172941769551326</t>
        </is>
      </c>
      <c r="N26" s="21" t="inlineStr">
        <is>
          <t>&lt;p&gt;Nước uống Collagen HIFU 100.000mg được giới thiệu cho nhu cầu chăm sóc da.&lt;/p&gt;</t>
        </is>
      </c>
      <c r="O26" s="21" t="inlineStr">
        <is>
          <t>&lt;p&gt;Sản phẩm collagen dạng nước của Nhật Bản.&lt;/p&gt;&lt;ul&gt;&lt;li&gt;Hàm lượng quảng bá trong bài: 100.000mg&lt;/li&gt;&lt;/ul&gt;</t>
        </is>
      </c>
      <c r="P26" s="21" t="inlineStr">
        <is>
          <t>Chưa xác định hãng, dung tích và quy cách hộp; thiếu giá.</t>
        </is>
      </c>
      <c r="Q26" s="21" t="n"/>
      <c r="R26" s="21" t="inlineStr">
        <is>
          <t>HIFU コラーゲン 100000mg</t>
        </is>
      </c>
      <c r="S26" s="21" t="inlineStr">
        <is>
          <t>https://www.facebook.com/photo/?fbid=2172941686218001&amp;set=pcb.2172941769551326</t>
        </is>
      </c>
      <c r="T26" s="27" t="n">
        <v>44761</v>
      </c>
    </row>
    <row r="27" ht="110.1" customHeight="1">
      <c r="A27" s="20" t="n"/>
      <c r="B27" s="21" t="inlineStr">
        <is>
          <t>Mặt Nạ The Stem Cell Nhật Bản 30 Miếng</t>
        </is>
      </c>
      <c r="C27" s="21" t="inlineStr">
        <is>
          <t>mat-na-the-stem-cell-nhat-ban-30-mieng</t>
        </is>
      </c>
      <c r="D27" s="21" t="inlineStr">
        <is>
          <t>MẶT NẠ ( MASK )</t>
        </is>
      </c>
      <c r="E27" s="30" t="n"/>
      <c r="F27" s="30" t="n"/>
      <c r="G27" s="30" t="n"/>
      <c r="H27" s="21" t="n"/>
      <c r="I27" s="21" t="n"/>
      <c r="J27" s="21" t="n"/>
      <c r="K27" s="21" t="inlineStr">
        <is>
          <t>Bản nháp</t>
        </is>
      </c>
      <c r="L27" s="21" t="inlineStr">
        <is>
          <t>the stem cell, mặt nạ tế bào gốc, 30 miếng, dưỡng da, chống lão hóa</t>
        </is>
      </c>
      <c r="M27" s="21" t="inlineStr">
        <is>
          <t>https://www.facebook.com/photo/?fbid=2172940672884769&amp;set=pcb.2172940729551430</t>
        </is>
      </c>
      <c r="N27" s="21" t="inlineStr">
        <is>
          <t>&lt;p&gt;Mặt nạ The Stem Cell nội địa Nhật, túi 30 miếng.&lt;/p&gt;</t>
        </is>
      </c>
      <c r="O27" s="21" t="inlineStr">
        <is>
          <t>&lt;p&gt;Mặt nạ dưỡng da The Stem Cell.&lt;/p&gt;&lt;ul&gt;&lt;li&gt;Quy cách: 30 miếng&lt;/li&gt;&lt;li&gt;Bài đăng có nhiều màu/biến thể&lt;/li&gt;&lt;/ul&gt;</t>
        </is>
      </c>
      <c r="P27" s="21" t="inlineStr">
        <is>
          <t>Đã ghi chung dòng sản phẩm; cần xác nhận công dụng riêng từng màu trước khi tách biến thể.</t>
        </is>
      </c>
      <c r="Q27" s="21" t="n"/>
      <c r="R27" s="21" t="inlineStr">
        <is>
          <t>THE STEM CELL フェイスマスク 30枚</t>
        </is>
      </c>
      <c r="S27" s="21" t="inlineStr">
        <is>
          <t>https://www.facebook.com/photo/?fbid=2172940672884769&amp;set=pcb.2172940729551430</t>
        </is>
      </c>
      <c r="T27" s="27" t="n">
        <v>44761</v>
      </c>
    </row>
    <row r="28" ht="110.1" customHeight="1">
      <c r="A28" s="23" t="n"/>
      <c r="B28" s="24" t="inlineStr">
        <is>
          <t>Thuốc Tsumura Seihaito Số 90 Hộp 42 Gói</t>
        </is>
      </c>
      <c r="C28" s="24" t="inlineStr">
        <is>
          <t>thuoc-tsumura-seihaito-so-90-hop-42-goi</t>
        </is>
      </c>
      <c r="D28" s="24" t="inlineStr">
        <is>
          <t>TỦ THUỐC GIA ĐÌNH ( FAMILY MEDICINE )</t>
        </is>
      </c>
      <c r="E28" s="31" t="n"/>
      <c r="F28" s="31" t="n"/>
      <c r="G28" s="31" t="n"/>
      <c r="H28" s="24" t="n"/>
      <c r="I28" s="24" t="n"/>
      <c r="J28" s="24" t="n"/>
      <c r="K28" s="24" t="inlineStr">
        <is>
          <t>Bản nháp</t>
        </is>
      </c>
      <c r="L28" s="24" t="inlineStr">
        <is>
          <t>tsumura, seihaito 90, thanh phế thang, 42 gói, thuốc nhật</t>
        </is>
      </c>
      <c r="M28" s="24" t="inlineStr">
        <is>
          <t>https://www.facebook.com/photo/?fbid=2172932359552267&amp;set=pcb.2172932469552256</t>
        </is>
      </c>
      <c r="N28" s="24" t="inlineStr">
        <is>
          <t>&lt;p&gt;Tsumura Seihaito số 90 dạng cốm, hộp 42 gói.&lt;/p&gt;</t>
        </is>
      </c>
      <c r="O28" s="24" t="inlineStr">
        <is>
          <t>&lt;p&gt;Sản phẩm Tsumura Seihaito số 90 của Nhật Bản.&lt;/p&gt;&lt;ul&gt;&lt;li&gt;Quy cách: 42 gói&lt;/li&gt;&lt;/ul&gt;</t>
        </is>
      </c>
      <c r="P28" s="24" t="inlineStr">
        <is>
          <t>Thiếu giá; nội dung công dụng cần được rà soát pháp lý trước khi đăng bán.</t>
        </is>
      </c>
      <c r="Q28" s="24" t="n"/>
      <c r="R28" s="24" t="inlineStr">
        <is>
          <t>ツムラ清肺湯エキス顆粒 90 42包</t>
        </is>
      </c>
      <c r="S28" s="24" t="inlineStr">
        <is>
          <t>https://www.facebook.com/photo/?fbid=2172932359552267&amp;set=pcb.2172932469552256</t>
        </is>
      </c>
      <c r="T28" s="28" t="n">
        <v>44760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48" customWidth="1" min="1" max="1"/>
    <col width="28" customWidth="1" min="2" max="4"/>
  </cols>
  <sheetData>
    <row r="1" ht="15" customHeight="1">
      <c r="A1" s="1" t="inlineStr">
        <is>
          <t>Tên danh mục *</t>
        </is>
      </c>
      <c r="B1" s="1" t="inlineStr">
        <is>
          <t>Slug</t>
        </is>
      </c>
      <c r="C1" s="1" t="inlineStr">
        <is>
          <t>Mô tả</t>
        </is>
      </c>
      <c r="D1" s="1" t="inlineStr">
        <is>
          <t>Ảnh</t>
        </is>
      </c>
    </row>
    <row r="2">
      <c r="A2" s="17" t="inlineStr">
        <is>
          <t>MOM AND BABY</t>
        </is>
      </c>
      <c r="B2" s="18" t="inlineStr">
        <is>
          <t>mom-and-baby</t>
        </is>
      </c>
      <c r="C2" s="18" t="inlineStr">
        <is>
          <t>Sản phẩm dành cho mẹ và bé</t>
        </is>
      </c>
      <c r="D2" s="19" t="n"/>
    </row>
    <row r="3">
      <c r="A3" s="20" t="inlineStr">
        <is>
          <t>DƯỠNG THỂ ( BODY )</t>
        </is>
      </c>
      <c r="B3" s="21" t="inlineStr">
        <is>
          <t>duong-the-body</t>
        </is>
      </c>
      <c r="C3" s="21" t="inlineStr">
        <is>
          <t>Chăm sóc da cơ thể</t>
        </is>
      </c>
      <c r="D3" s="22" t="n"/>
    </row>
    <row r="4" ht="28.5" customHeight="1">
      <c r="A4" s="20" t="inlineStr">
        <is>
          <t>THỰC PHẨM CHỨC NĂNG ( FUNCTIONAL FOODS )</t>
        </is>
      </c>
      <c r="B4" s="21" t="inlineStr">
        <is>
          <t>thuc-pham-chuc-nang</t>
        </is>
      </c>
      <c r="C4" s="21" t="inlineStr">
        <is>
          <t>Sản phẩm hỗ trợ chăm sóc sức khỏe</t>
        </is>
      </c>
      <c r="D4" s="22" t="n"/>
    </row>
    <row r="5">
      <c r="A5" s="20" t="inlineStr">
        <is>
          <t>KEM DƯỠNG DÀNH CHO MẶT ( FACE CREAM )</t>
        </is>
      </c>
      <c r="B5" s="21" t="inlineStr">
        <is>
          <t>kem-duong-danh-cho-mat</t>
        </is>
      </c>
      <c r="C5" s="21" t="inlineStr">
        <is>
          <t>Kem và gel dưỡng da mặt</t>
        </is>
      </c>
      <c r="D5" s="22" t="n"/>
    </row>
    <row r="6">
      <c r="A6" s="20" t="inlineStr">
        <is>
          <t>TINH CHẤT DƯỠNG ( SERUM/ESSENCE )</t>
        </is>
      </c>
      <c r="B6" s="21" t="inlineStr">
        <is>
          <t>tinh-chat-duong</t>
        </is>
      </c>
      <c r="C6" s="21" t="inlineStr">
        <is>
          <t>Serum và essence dưỡng da</t>
        </is>
      </c>
      <c r="D6" s="22" t="n"/>
    </row>
    <row r="7">
      <c r="A7" s="20" t="inlineStr">
        <is>
          <t>NƯỚC HOA HỒNG ( LOTION )</t>
        </is>
      </c>
      <c r="B7" s="21" t="inlineStr">
        <is>
          <t>nuoc-hoa-hong-lotion</t>
        </is>
      </c>
      <c r="C7" s="21" t="inlineStr">
        <is>
          <t>Toner và lotion dưỡng da</t>
        </is>
      </c>
      <c r="D7" s="22" t="n"/>
    </row>
    <row r="8" ht="28.5" customHeight="1">
      <c r="A8" s="20" t="inlineStr">
        <is>
          <t>CHĂM SÓC SỨC KHỎE</t>
        </is>
      </c>
      <c r="B8" s="21" t="inlineStr">
        <is>
          <t>cham-soc-suc-khoe</t>
        </is>
      </c>
      <c r="C8" s="21" t="inlineStr">
        <is>
          <t>Sản phẩm chăm sóc sức khỏe thông dụng</t>
        </is>
      </c>
      <c r="D8" s="22" t="n"/>
    </row>
    <row r="9">
      <c r="A9" s="20" t="inlineStr">
        <is>
          <t>GỐC CHỊ EM CHÚNG MÌNH ( WOMEN )</t>
        </is>
      </c>
      <c r="B9" s="21" t="inlineStr">
        <is>
          <t>goc-chi-em-chung-minh</t>
        </is>
      </c>
      <c r="C9" s="21" t="inlineStr">
        <is>
          <t>Sản phẩm dành cho phụ nữ</t>
        </is>
      </c>
      <c r="D9" s="22" t="n"/>
    </row>
    <row r="10">
      <c r="A10" s="20" t="inlineStr">
        <is>
          <t>CHĂM SÓC CƠ THỂ</t>
        </is>
      </c>
      <c r="B10" s="21" t="inlineStr">
        <is>
          <t>cham-soc-co-the</t>
        </is>
      </c>
      <c r="C10" s="21" t="inlineStr">
        <is>
          <t>Sản phẩm chăm sóc cơ thể</t>
        </is>
      </c>
      <c r="D10" s="22" t="n"/>
    </row>
    <row r="11" ht="28.5" customHeight="1">
      <c r="A11" s="20" t="inlineStr">
        <is>
          <t>GIẢM CÂN ( DIET )</t>
        </is>
      </c>
      <c r="B11" s="21" t="inlineStr">
        <is>
          <t>giam-can-diet</t>
        </is>
      </c>
      <c r="C11" s="21" t="inlineStr">
        <is>
          <t>Sản phẩm hỗ trợ kiểm soát cân nặng</t>
        </is>
      </c>
      <c r="D11" s="22" t="n"/>
    </row>
    <row r="12">
      <c r="A12" s="20" t="inlineStr">
        <is>
          <t>SỮA RỬA MẶT</t>
        </is>
      </c>
      <c r="B12" s="21" t="inlineStr">
        <is>
          <t>sua-rua-mat</t>
        </is>
      </c>
      <c r="C12" s="21" t="inlineStr">
        <is>
          <t>Sản phẩm làm sạch da mặt</t>
        </is>
      </c>
      <c r="D12" s="22" t="n"/>
    </row>
    <row r="13" ht="28.5" customHeight="1">
      <c r="A13" s="20" t="inlineStr">
        <is>
          <t>CHỐNG NẮNG ( UV )</t>
        </is>
      </c>
      <c r="B13" s="21" t="inlineStr">
        <is>
          <t>chong-nang-uv</t>
        </is>
      </c>
      <c r="C13" s="21" t="inlineStr">
        <is>
          <t>Sản phẩm chống nắng dùng ngoài và dạng uống</t>
        </is>
      </c>
      <c r="D13" s="22" t="n"/>
    </row>
    <row r="14">
      <c r="A14" s="20" t="inlineStr">
        <is>
          <t>ĐỒ GIA DỤNG ( HOUSEHOLD )</t>
        </is>
      </c>
      <c r="B14" s="21" t="inlineStr">
        <is>
          <t>do-gia-dung-household</t>
        </is>
      </c>
      <c r="C14" s="21" t="inlineStr">
        <is>
          <t>Đồ dùng gia đình</t>
        </is>
      </c>
      <c r="D14" s="22" t="n"/>
    </row>
    <row r="15">
      <c r="A15" s="20" t="inlineStr">
        <is>
          <t>DẦU GỘI - DẦU XẢ</t>
        </is>
      </c>
      <c r="B15" s="21" t="inlineStr">
        <is>
          <t>dau-goi-dau-xa</t>
        </is>
      </c>
      <c r="C15" s="21" t="inlineStr">
        <is>
          <t>Sản phẩm chăm sóc tóc</t>
        </is>
      </c>
      <c r="D15" s="22" t="n"/>
    </row>
    <row r="16">
      <c r="A16" s="20" t="inlineStr">
        <is>
          <t>THỰC PHẨM - ĐỒ UỐNG ( FOOD &amp; DRINK )</t>
        </is>
      </c>
      <c r="B16" s="21" t="inlineStr">
        <is>
          <t>thuc-pham-do-uong</t>
        </is>
      </c>
      <c r="C16" s="21" t="inlineStr">
        <is>
          <t>Thực phẩm và đồ uống</t>
        </is>
      </c>
      <c r="D16" s="22" t="n"/>
    </row>
    <row r="17">
      <c r="A17" s="20" t="inlineStr">
        <is>
          <t>MẶT NẠ ( MASK )</t>
        </is>
      </c>
      <c r="B17" s="21" t="inlineStr">
        <is>
          <t>mat-na-mask</t>
        </is>
      </c>
      <c r="C17" s="21" t="inlineStr">
        <is>
          <t>Mặt nạ chăm sóc da</t>
        </is>
      </c>
      <c r="D17" s="22" t="n"/>
    </row>
    <row r="18" ht="28.5" customHeight="1">
      <c r="A18" s="23" t="inlineStr">
        <is>
          <t>TỦ THUỐC GIA ĐÌNH ( FAMILY MEDICINE )</t>
        </is>
      </c>
      <c r="B18" s="24" t="inlineStr">
        <is>
          <t>tu-thuoc-gia-dinh</t>
        </is>
      </c>
      <c r="C18" s="24" t="inlineStr">
        <is>
          <t>Sản phẩm dùng trong tủ thuốc gia đình</t>
        </is>
      </c>
      <c r="D18" s="2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34" customWidth="1" min="1" max="1"/>
    <col width="16" customWidth="1" min="2" max="2"/>
    <col width="48" customWidth="1" min="3" max="3"/>
    <col width="52" customWidth="1" min="4" max="4"/>
    <col width="55" customWidth="1" min="5" max="5"/>
  </cols>
  <sheetData>
    <row r="1" ht="15" customHeight="1">
      <c r="A1" s="1" t="inlineStr">
        <is>
          <t>Tên trên Facebook</t>
        </is>
      </c>
      <c r="B1" s="1" t="inlineStr">
        <is>
          <t>ID trên web</t>
        </is>
      </c>
      <c r="C1" s="1" t="inlineStr">
        <is>
          <t>Tên trên web</t>
        </is>
      </c>
      <c r="D1" s="1" t="inlineStr">
        <is>
          <t>Link bài</t>
        </is>
      </c>
      <c r="E1" s="1" t="inlineStr">
        <is>
          <t>Thông tin mới</t>
        </is>
      </c>
    </row>
    <row r="2" ht="39.6" customHeight="1">
      <c r="A2" s="17" t="inlineStr">
        <is>
          <t>An Cung Ngưu Hoàng Hoàn Quảng Đông 10 Viên</t>
        </is>
      </c>
      <c r="B2" s="18" t="inlineStr">
        <is>
          <t>1358, 2104</t>
        </is>
      </c>
      <c r="C2" s="18" t="inlineStr">
        <is>
          <t>Viên Ngăn Ngừa Đột Quỵ An Cung Ngưu Hoàn Nhật Bản | Viên uống hỗ trợ phòng ngừa đột quỵ, tai biến</t>
        </is>
      </c>
      <c r="D2" s="18" t="inlineStr">
        <is>
          <t>https://www.facebook.com/le.trang.77582359/posts/pfbid02ChvBpRG1EPxngLADL4R1HRChR9aadNpHZnNXY9uyaHXQnj6bhZ33ojpEGtqkJST3l</t>
        </is>
      </c>
      <c r="E2" s="19" t="inlineStr">
        <is>
          <t>Bao bì ghi 廣東牛黄清心元, quy cách 1 viên × 10; catalogue chưa ghi rõ hãng/quy cách.</t>
        </is>
      </c>
    </row>
    <row r="3" ht="39.6" customHeight="1">
      <c r="A3" s="20" t="inlineStr">
        <is>
          <t>Viên Uống Hỗ Trợ Chuyển Hóa Axit Uric Minami Anserine 240 Viên</t>
        </is>
      </c>
      <c r="B3" s="21" t="inlineStr">
        <is>
          <t>2103</t>
        </is>
      </c>
      <c r="C3" s="21" t="inlineStr">
        <is>
          <t>Viên uống hỗ trợ điều trị gout</t>
        </is>
      </c>
      <c r="D3" s="21" t="inlineStr">
        <is>
          <t>https://www.facebook.com/le.trang.77582359/posts/pfbid02GYpG84g22jwJkXmB8xSbSKZNPdzixccUoF85kB6rakhK8nDzAPhk2Vv6wjHBzAVMl</t>
        </is>
      </c>
      <c r="E3" s="22" t="inlineStr">
        <is>
          <t>Bổ sung quy cách 60g (250mg × 240 viên) đọc trên hộp.</t>
        </is>
      </c>
    </row>
    <row r="4" ht="39.6" customHeight="1">
      <c r="A4" s="20" t="inlineStr">
        <is>
          <t>Kem Massage Dưỡng Ẩm Pigeon Body Massage Cream</t>
        </is>
      </c>
      <c r="B4" s="21" t="inlineStr">
        <is>
          <t>2052</t>
        </is>
      </c>
      <c r="C4" s="21" t="inlineStr">
        <is>
          <t>Kem trị rạn da Pigeon dùng trước sinh 110g</t>
        </is>
      </c>
      <c r="D4" s="21" t="inlineStr">
        <is>
          <t>https://www.facebook.com/le.trang.77582359/posts/pfbid0XhdX29vc4D8KmvvWDrkrLZZbyR2YhwiEY717Hm8SMKMuaZbQcWnbL2ggELk54Hqgl</t>
        </is>
      </c>
      <c r="E4" s="22" t="inlineStr">
        <is>
          <t>Nghi trùng kem Pigeon dùng trước sinh; caption không có giá.</t>
        </is>
      </c>
    </row>
    <row r="5" ht="15" customHeight="1">
      <c r="A5" s="20" t="inlineStr">
        <is>
          <t>Viên Chống Say Tàu Xe Aneron Niscap 9 Viên</t>
        </is>
      </c>
      <c r="B5" s="21" t="inlineStr">
        <is>
          <t>2096</t>
        </is>
      </c>
      <c r="C5" s="21" t="inlineStr">
        <is>
          <t>Viên chống say tàu xe Anerol Nhật Bản</t>
        </is>
      </c>
      <c r="D5" s="21" t="inlineStr">
        <is>
          <t>https://www.facebook.com/photo/?fbid=2205257492986420</t>
        </is>
      </c>
      <c r="E5" s="22" t="inlineStr">
        <is>
          <t>Bổ sung quy cách 9 viên; dùng từ 15 tuổi, uống trước chuyến đi 30 phút.</t>
        </is>
      </c>
    </row>
    <row r="6" ht="39.6" customHeight="1">
      <c r="A6" s="20" t="inlineStr">
        <is>
          <t>Sữa Meiji Hohoemi 0-1 Tuổi Dạng Lon 800g</t>
        </is>
      </c>
      <c r="B6" s="21" t="inlineStr">
        <is>
          <t>1539</t>
        </is>
      </c>
      <c r="C6" s="21" t="inlineStr">
        <is>
          <t>Sữa Meji Cho Bé Từ 0-1 Tuổi Dạng Lon 800g</t>
        </is>
      </c>
      <c r="D6" s="21" t="inlineStr">
        <is>
          <t>https://www.facebook.com/le.trang.77582359/posts/pfbid02xKLGxQg9CYr9VSaZCZ5piqsgPcSXb49y4P4U6tA8zkKm2m9RqHy6hfghnApFY2Hrl</t>
        </is>
      </c>
      <c r="E6" s="22" t="inlineStr">
        <is>
          <t>Bài xác nhận hàng lon 0-1 tuổi có sẵn; không có giá.</t>
        </is>
      </c>
    </row>
    <row r="7" ht="39.6" customHeight="1">
      <c r="A7" s="20" t="inlineStr">
        <is>
          <t>Sữa Meiji Step 1-3 Tuổi Dạng Lon 800g</t>
        </is>
      </c>
      <c r="B7" s="21" t="inlineStr">
        <is>
          <t>1536, 2073</t>
        </is>
      </c>
      <c r="C7" s="21" t="inlineStr">
        <is>
          <t>Sữa Meiji Cho Bé Từ 1-3 Tuổi Dạng Lon 800g | Sữa Meiji số 9 800g</t>
        </is>
      </c>
      <c r="D7" s="21" t="inlineStr">
        <is>
          <t>https://www.facebook.com/le.trang.77582359/posts/pfbid02xKLGxQg9CYr9VSaZCZ5piqsgPcSXb49y4P4U6tA8zkKm2m9RqHy6hfghnApFY2Hrl</t>
        </is>
      </c>
      <c r="E7" s="22" t="inlineStr">
        <is>
          <t>Nghi trùng hai dòng Meiji 1-3 tuổi/số 9 dạng lon.</t>
        </is>
      </c>
    </row>
    <row r="8" ht="39.6" customHeight="1">
      <c r="A8" s="20" t="inlineStr">
        <is>
          <t>Sữa Meiji Hohoemi 0-1 Tuổi Dạng Thanh 48 Gói</t>
        </is>
      </c>
      <c r="B8" s="21" t="inlineStr">
        <is>
          <t>1363</t>
        </is>
      </c>
      <c r="C8" s="21" t="inlineStr">
        <is>
          <t>Sữa Meiji Cho Bé Từ 0-1 Tuổi Dạng Thanh (48 Thanh)</t>
        </is>
      </c>
      <c r="D8" s="21" t="inlineStr">
        <is>
          <t>https://www.facebook.com/le.trang.77582359/posts/pfbid02xKLGxQg9CYr9VSaZCZ5piqsgPcSXb49y4P4U6tA8zkKm2m9RqHy6hfghnApFY2Hrl</t>
        </is>
      </c>
      <c r="E8" s="22" t="inlineStr">
        <is>
          <t>Bài xác nhận hàng dạng thanh 0-1 tuổi có sẵn.</t>
        </is>
      </c>
    </row>
    <row r="9" ht="39.6" customHeight="1">
      <c r="A9" s="20" t="inlineStr">
        <is>
          <t>Sữa Meiji Step 1-3 Tuổi Dạng Thanh 48 Gói</t>
        </is>
      </c>
      <c r="B9" s="21" t="inlineStr">
        <is>
          <t>1368</t>
        </is>
      </c>
      <c r="C9" s="21" t="inlineStr">
        <is>
          <t>Sữa Meiji Cho Bé Từ 1-3 Tuổi Dạng Thanh (48 Thanh)</t>
        </is>
      </c>
      <c r="D9" s="21" t="inlineStr">
        <is>
          <t>https://www.facebook.com/le.trang.77582359/posts/pfbid02xKLGxQg9CYr9VSaZCZ5piqsgPcSXb49y4P4U6tA8zkKm2m9RqHy6hfghnApFY2Hrl</t>
        </is>
      </c>
      <c r="E9" s="22" t="inlineStr">
        <is>
          <t>Bài xác nhận hàng dạng thanh 1-3 tuổi có sẵn.</t>
        </is>
      </c>
    </row>
    <row r="10" ht="39.6" customHeight="1">
      <c r="A10" s="20" t="inlineStr">
        <is>
          <t>Thuốc Cảm Cúm Taisho Pabron Gold A 44 Gói</t>
        </is>
      </c>
      <c r="B10" s="21" t="inlineStr">
        <is>
          <t>1412, 1431, 1433</t>
        </is>
      </c>
      <c r="C10" s="21" t="inlineStr">
        <is>
          <t>Thuốc Trị Cảm Sốt Cho Bé Paburon Dạng Gói | Thuốc Đặc Trị Ho Cảm Cúm PABRON S NHẬT BẢN Dạng Gói | Thuốc Trị Cảm Cúm Cho Trẻ Taisho Pabron Gold A 46 gói</t>
        </is>
      </c>
      <c r="D10" s="21" t="inlineStr">
        <is>
          <t>https://www.facebook.com/le.trang.77582359</t>
        </is>
      </c>
      <c r="E10" s="22" t="inlineStr">
        <is>
          <t>Caption ghi 44 gói; cần kiểm tra lại đúng biến thể vì catalogue có nhiều dòng Pabron/Paburon dạng gói.</t>
        </is>
      </c>
    </row>
    <row r="11" ht="39.6" customHeight="1">
      <c r="A11" s="20" t="inlineStr">
        <is>
          <t>Viên Uống Tiền Mãn Kinh Kobayashi Inochi No Haha A 840 Viên</t>
        </is>
      </c>
      <c r="B11" s="21" t="inlineStr">
        <is>
          <t>2130</t>
        </is>
      </c>
      <c r="C11" s="21" t="inlineStr">
        <is>
          <t>Viên uống tiền mãn kinh Kobayashi 840 viên</t>
        </is>
      </c>
      <c r="D11" s="21" t="inlineStr">
        <is>
          <t>https://www.facebook.com/le.trang.77582359/posts/pfbid055WTYdj9qbyspF5KvVbc7VPV4JAYzu1d1KwSKos98aZ46kRW3ExDh3Ngyj8hw12nl</t>
        </is>
      </c>
      <c r="E11" s="22" t="inlineStr">
        <is>
          <t>Trùng đúng quy cách 840 viên; bao bì ghi 70 ngày.</t>
        </is>
      </c>
    </row>
    <row r="12" ht="15" customHeight="1">
      <c r="A12" s="20" t="inlineStr">
        <is>
          <t>Ngũ Cốc Calbee Frugra 750g</t>
        </is>
      </c>
      <c r="B12" s="21" t="inlineStr">
        <is>
          <t>1478</t>
        </is>
      </c>
      <c r="C12" s="21" t="inlineStr">
        <is>
          <t>Ngũ Cốc Đỏ Calbee Nhật Bản 750g</t>
        </is>
      </c>
      <c r="D12" s="21" t="inlineStr">
        <is>
          <t>https://www.facebook.com/photo/?fbid=2191509887694514</t>
        </is>
      </c>
      <c r="E12" s="22" t="inlineStr">
        <is>
          <t>Trùng biến thể túi đỏ 750g; bài không có giá.</t>
        </is>
      </c>
    </row>
    <row r="13" ht="15" customHeight="1">
      <c r="A13" s="20" t="inlineStr">
        <is>
          <t>Ngũ Cốc Calbee Frugra Giảm Đường 600g</t>
        </is>
      </c>
      <c r="B13" s="21" t="inlineStr">
        <is>
          <t>1481</t>
        </is>
      </c>
      <c r="C13" s="21" t="inlineStr">
        <is>
          <t>Ngũ Cốc Trắng Calbee Nhật Bản 600g</t>
        </is>
      </c>
      <c r="D13" s="21" t="inlineStr">
        <is>
          <t>https://www.facebook.com/photo/?fbid=2191509887694514</t>
        </is>
      </c>
      <c r="E13" s="22" t="inlineStr">
        <is>
          <t>Trùng biến thể túi trắng giảm 30% đường, 600g.</t>
        </is>
      </c>
    </row>
    <row r="14" ht="26.45" customHeight="1">
      <c r="A14" s="20" t="inlineStr">
        <is>
          <t>Viên Uống Hỗ Trợ Dạ Dày Kowa Cabagin Kowa Alpha 300 Viên</t>
        </is>
      </c>
      <c r="B14" s="21" t="inlineStr">
        <is>
          <t>1762, 2099</t>
        </is>
      </c>
      <c r="C14" s="21" t="inlineStr">
        <is>
          <t>THUỐC TRỊ ĐAU DẠ DÀY KOWA | Thuốc dạ dày Kowa Cabagin α 300 viên</t>
        </is>
      </c>
      <c r="D14" s="21" t="inlineStr">
        <is>
          <t>https://www.facebook.com/photo/?fbid=2191509541027882</t>
        </is>
      </c>
      <c r="E14" s="22" t="inlineStr">
        <is>
          <t>Trùng Kowa Cabagin Alpha 300 viên; ảnh và caption bổ sung quy cách.</t>
        </is>
      </c>
    </row>
    <row r="15" ht="26.45" customHeight="1">
      <c r="A15" s="20" t="inlineStr">
        <is>
          <t>Dầu Cá Omega 3 Orihiro 180 Viên</t>
        </is>
      </c>
      <c r="B15" s="21" t="inlineStr">
        <is>
          <t>1564</t>
        </is>
      </c>
      <c r="C15" s="21" t="inlineStr">
        <is>
          <t>Dầu Cá Omega 3 Orihiro 180 Viên</t>
        </is>
      </c>
      <c r="D15" s="21" t="inlineStr">
        <is>
          <t>https://www.facebook.com/photo/?fbid=2205832236262279&amp;set=pcb.2205832509595585</t>
        </is>
      </c>
      <c r="E15" s="22" t="inlineStr">
        <is>
          <t>Ảnh gộp với Anserine; không có giá.</t>
        </is>
      </c>
    </row>
    <row r="16" ht="26.45" customHeight="1">
      <c r="A16" s="20" t="inlineStr">
        <is>
          <t>Viên Uống Minami Anserine 240 Viên</t>
        </is>
      </c>
      <c r="B16" s="21" t="inlineStr">
        <is>
          <t>2103</t>
        </is>
      </c>
      <c r="C16" s="21" t="inlineStr">
        <is>
          <t>Viên uống hỗ trợ điều trị gout</t>
        </is>
      </c>
      <c r="D16" s="21" t="inlineStr">
        <is>
          <t>https://www.facebook.com/photo/?fbid=2205832236262279&amp;set=pcb.2205832509595585</t>
        </is>
      </c>
      <c r="E16" s="22" t="inlineStr">
        <is>
          <t>Cùng sản phẩm Anserine trong bài ngày 31-08-2022.</t>
        </is>
      </c>
    </row>
    <row r="17" ht="15" customHeight="1">
      <c r="A17" s="20" t="inlineStr">
        <is>
          <t>Thuốc Cảm Cúm Taisho Pabron Dạng Bột</t>
        </is>
      </c>
      <c r="B17" s="21" t="inlineStr">
        <is>
          <t>1431</t>
        </is>
      </c>
      <c r="C17" s="21" t="inlineStr">
        <is>
          <t>Thuốc Đặc Trị Ho Cảm Cúm PABRON S NHẬT BẢN Dạng Gói</t>
        </is>
      </c>
      <c r="D17" s="21" t="inlineStr">
        <is>
          <t>https://www.facebook.com/le.trang.77582359</t>
        </is>
      </c>
      <c r="E17" s="22" t="inlineStr">
        <is>
          <t>Bài trải nghiệm dùng 4 gói; không có giá và link bài riêng.</t>
        </is>
      </c>
    </row>
    <row r="18" ht="26.45" customHeight="1">
      <c r="A18" s="20" t="inlineStr">
        <is>
          <t>Kem Dưỡng SK-II Cellumination Deep Surge EX 50g</t>
        </is>
      </c>
      <c r="B18" s="21" t="inlineStr">
        <is>
          <t>2038</t>
        </is>
      </c>
      <c r="C18" s="21" t="inlineStr">
        <is>
          <t>Kem dưỡng SK-II Cellumination Deep Surge EX 50g</t>
        </is>
      </c>
      <c r="D18" s="21" t="inlineStr">
        <is>
          <t>https://www.facebook.com/le.trang.77582359</t>
        </is>
      </c>
      <c r="E18" s="22" t="inlineStr">
        <is>
          <t>Caption ghi Cell SKII 50g; đối chiếu gần nhất là Cellumination Deep Surge EX 50g.</t>
        </is>
      </c>
    </row>
    <row r="19" ht="15" customHeight="1">
      <c r="A19" s="20" t="inlineStr">
        <is>
          <t>Viên Uống Chống Nắng UV Plus Block 100</t>
        </is>
      </c>
      <c r="B19" s="21" t="inlineStr">
        <is>
          <t>2151</t>
        </is>
      </c>
      <c r="C19" s="21" t="inlineStr">
        <is>
          <t>Viên Uống Chống Nắng UV Plus Block 100</t>
        </is>
      </c>
      <c r="D19" s="21" t="inlineStr">
        <is>
          <t>https://www.facebook.com/le.trang.77582359</t>
        </is>
      </c>
      <c r="E19" s="22" t="inlineStr">
        <is>
          <t>Bài nêu liệu trình 45 ngày, thành phần ceramide dứa và cam đỏ.</t>
        </is>
      </c>
    </row>
    <row r="20" ht="26.45" customHeight="1">
      <c r="A20" s="20" t="inlineStr">
        <is>
          <t>Viên Uống Bổ Gan Liver Hydrolysate</t>
        </is>
      </c>
      <c r="B20" s="21" t="inlineStr">
        <is>
          <t>1232</t>
        </is>
      </c>
      <c r="C20" s="21" t="inlineStr">
        <is>
          <t>Viên Uống Bổ Gan Liver Hydrolysate</t>
        </is>
      </c>
      <c r="D20" s="21" t="inlineStr">
        <is>
          <t>https://www.facebook.com/photo/?fbid=2176697505842419&amp;set=pcb.2176697705842399</t>
        </is>
      </c>
      <c r="E20" s="22" t="inlineStr">
        <is>
          <t>Bài ghi dạng gói 60 viên dùng 10 ngày; 3 gói tương đương hộp 180 viên.</t>
        </is>
      </c>
    </row>
    <row r="21" ht="26.45" customHeight="1">
      <c r="A21" s="20" t="inlineStr">
        <is>
          <t>Tảo Vàng EX 2000 Viên</t>
        </is>
      </c>
      <c r="B21" s="21" t="inlineStr">
        <is>
          <t>1744</t>
        </is>
      </c>
      <c r="C21" s="21" t="inlineStr">
        <is>
          <t>TẢO VÀNG EX 2000 Viên</t>
        </is>
      </c>
      <c r="D21" s="21" t="inlineStr">
        <is>
          <t>https://www.facebook.com/photo/?fbid=2176696242509212&amp;set=pcb.2176696319175871</t>
        </is>
      </c>
      <c r="E21" s="22" t="inlineStr">
        <is>
          <t>Bài giới thiệu set 2 lọ, mỗi lọ 1.000 viên.</t>
        </is>
      </c>
    </row>
    <row r="22" ht="26.45" customHeight="1">
      <c r="A22" s="20" t="inlineStr">
        <is>
          <t>Thuốc Cảm Cúm Taisho Pabron Gold A 210 Viên</t>
        </is>
      </c>
      <c r="B22" s="21" t="inlineStr">
        <is>
          <t>1429</t>
        </is>
      </c>
      <c r="C22" s="21" t="inlineStr">
        <is>
          <t>Thuốc Đặc Trị Ho Cảm Cúm PABRON S NHẬT BẢN Dạng Viên</t>
        </is>
      </c>
      <c r="D22" s="21" t="inlineStr">
        <is>
          <t>https://www.facebook.com/photo/?fbid=2176695109175992&amp;set=pcb.2176695182509318</t>
        </is>
      </c>
      <c r="E22" s="22" t="inlineStr">
        <is>
          <t>Cùng bài có hai biến thể: 210 viên và 46 gói.</t>
        </is>
      </c>
    </row>
    <row r="23" ht="26.45" customHeight="1">
      <c r="A23" s="20" t="inlineStr">
        <is>
          <t>Thuốc Cảm Cúm Taisho Pabron Gold A 46 Gói</t>
        </is>
      </c>
      <c r="B23" s="21" t="inlineStr">
        <is>
          <t>1431</t>
        </is>
      </c>
      <c r="C23" s="21" t="inlineStr">
        <is>
          <t>Thuốc Đặc Trị Ho Cảm Cúm PABRON S NHẬT BẢN Dạng Gói</t>
        </is>
      </c>
      <c r="D23" s="21" t="inlineStr">
        <is>
          <t>https://www.facebook.com/photo/?fbid=2176695109175992&amp;set=pcb.2176695182509318</t>
        </is>
      </c>
      <c r="E23" s="22" t="inlineStr">
        <is>
          <t>Cùng bài có hai biến thể: 210 viên và 46 gói; cần kiểm tra lại tên S/Gold A trong catalogue.</t>
        </is>
      </c>
    </row>
    <row r="24" ht="26.45" customHeight="1">
      <c r="A24" s="20" t="inlineStr">
        <is>
          <t>Sữa Tắm Hatomugi 800ml</t>
        </is>
      </c>
      <c r="B24" s="21" t="inlineStr">
        <is>
          <t>1436, 2083</t>
        </is>
      </c>
      <c r="C24" s="21" t="inlineStr">
        <is>
          <t>Sữa Tắm Trắng Da Hạt Ý Dĩ Hatomugi 800ml | Sữa tắm Hatomugi chiết xuất hạt ý dĩ 800ml</t>
        </is>
      </c>
      <c r="D24" s="21" t="inlineStr">
        <is>
          <t>https://www.facebook.com/photo/?fbid=2176694072509429&amp;set=pcb.2176694142509422</t>
        </is>
      </c>
      <c r="E24" s="22" t="inlineStr">
        <is>
          <t>Trùng sản phẩm Hatomugi Moisturizing Washing 800ml.</t>
        </is>
      </c>
    </row>
    <row r="25" ht="26.45" customHeight="1">
      <c r="A25" s="20" t="inlineStr">
        <is>
          <t>Thuốc Cảm Cúm Trẻ Em Taisho Pabron Gold A 46 Gói</t>
        </is>
      </c>
      <c r="B25" s="21" t="inlineStr">
        <is>
          <t>1433</t>
        </is>
      </c>
      <c r="C25" s="21" t="inlineStr">
        <is>
          <t>Thuốc Trị Cảm Cúm Cho Trẻ Taisho Pabron Gold A 46 gói</t>
        </is>
      </c>
      <c r="D25" s="21" t="inlineStr">
        <is>
          <t>https://www.facebook.com/photo/?fbid=2176692605842909&amp;set=pcb.2176692662509570</t>
        </is>
      </c>
      <c r="E25" s="22" t="inlineStr">
        <is>
          <t>Dạng bột dành cho trẻ từ trên 1 tuổi theo caption.</t>
        </is>
      </c>
    </row>
    <row r="26" ht="26.45" customHeight="1">
      <c r="A26" s="20" t="inlineStr">
        <is>
          <t>Transino Trị Nám 240 Viên</t>
        </is>
      </c>
      <c r="B26" s="21" t="inlineStr">
        <is>
          <t>320</t>
        </is>
      </c>
      <c r="C26" s="21" t="inlineStr">
        <is>
          <t>Transino Trị Nám 240 Viên</t>
        </is>
      </c>
      <c r="D26" s="21" t="inlineStr">
        <is>
          <t>https://www.facebook.com/photo/?fbid=2175205955991574&amp;set=pcb.2175206032658233</t>
        </is>
      </c>
      <c r="E26" s="22" t="inlineStr">
        <is>
          <t>Trùng đúng quy cách 240 viên.</t>
        </is>
      </c>
    </row>
    <row r="27" ht="26.45" customHeight="1">
      <c r="A27" s="20" t="inlineStr">
        <is>
          <t>Xà Phòng Pelican For Back 135g</t>
        </is>
      </c>
      <c r="B27" s="21" t="inlineStr">
        <is>
          <t>2138</t>
        </is>
      </c>
      <c r="C27" s="21" t="inlineStr">
        <is>
          <t>Xà phòng trị thâm mông Pelican For Back 135g</t>
        </is>
      </c>
      <c r="D27" s="21" t="inlineStr">
        <is>
          <t>https://www.facebook.com/photo/?fbid=2175202975991872&amp;set=pcb.2175203035991866</t>
        </is>
      </c>
      <c r="E27" s="22" t="inlineStr">
        <is>
          <t>Trùng sản phẩm Pelican For Back; bài giới thiệu cho mụn lưng.</t>
        </is>
      </c>
    </row>
    <row r="28" ht="26.45" customHeight="1">
      <c r="A28" s="20" t="inlineStr">
        <is>
          <t>Nước Uống Melsmon Platinum Liquid Placenta</t>
        </is>
      </c>
      <c r="B28" s="21" t="inlineStr">
        <is>
          <t>2209</t>
        </is>
      </c>
      <c r="C28" s="21" t="inlineStr">
        <is>
          <t>Nước Uống Melsmon Platinum Liquid Placenta</t>
        </is>
      </c>
      <c r="D28" s="21" t="inlineStr">
        <is>
          <t>https://www.facebook.com/photo/?fbid=2175202599325243&amp;set=pcb.2175202699325233</t>
        </is>
      </c>
      <c r="E28" s="22" t="inlineStr">
        <is>
          <t>Trùng sản phẩm Melsmon dạng ống uống.</t>
        </is>
      </c>
    </row>
    <row r="29" ht="26.45" customHeight="1">
      <c r="A29" s="20" t="inlineStr">
        <is>
          <t>Viên Uống Minami Anserine 240 Viên</t>
        </is>
      </c>
      <c r="B29" s="21" t="inlineStr">
        <is>
          <t>2103</t>
        </is>
      </c>
      <c r="C29" s="21" t="inlineStr">
        <is>
          <t>Viên uống hỗ trợ điều trị gout</t>
        </is>
      </c>
      <c r="D29" s="21" t="inlineStr">
        <is>
          <t>https://www.facebook.com/photo/?fbid=2174492519396251&amp;set=pcb.2174492612729575</t>
        </is>
      </c>
      <c r="E29" s="22" t="inlineStr">
        <is>
          <t>Bài ngày 20-07-2022; trùng đúng sản phẩm và quy cách.</t>
        </is>
      </c>
    </row>
    <row r="30" ht="26.45" customHeight="1">
      <c r="A30" s="20" t="inlineStr">
        <is>
          <t>Transino Trị Nám 240 Viên</t>
        </is>
      </c>
      <c r="B30" s="21" t="inlineStr">
        <is>
          <t>320</t>
        </is>
      </c>
      <c r="C30" s="21" t="inlineStr">
        <is>
          <t>Transino Trị Nám 240 Viên</t>
        </is>
      </c>
      <c r="D30" s="21" t="inlineStr">
        <is>
          <t>https://www.facebook.com/photo/?fbid=2174489306063239&amp;set=pcb.2174489409396562</t>
        </is>
      </c>
      <c r="E30" s="22" t="inlineStr">
        <is>
          <t>Bài lặp ngày 20-07-2022; trùng đúng quy cách.</t>
        </is>
      </c>
    </row>
    <row r="31" ht="26.45" customHeight="1">
      <c r="A31" s="20" t="inlineStr">
        <is>
          <t>Bình Giữ Nhiệt Thermos 0,5L</t>
        </is>
      </c>
      <c r="B31" s="21" t="inlineStr">
        <is>
          <t>2200</t>
        </is>
      </c>
      <c r="C31" s="21" t="inlineStr">
        <is>
          <t>Bình Giữ Nhiệt Thermos</t>
        </is>
      </c>
      <c r="D31" s="21" t="inlineStr">
        <is>
          <t>https://www.facebook.com/photo/?fbid=2174488839396619&amp;set=a.107074612804729</t>
        </is>
      </c>
      <c r="E31" s="22" t="inlineStr">
        <is>
          <t>Trùng bình Thermos; bài bổ sung dung tích 0,5L.</t>
        </is>
      </c>
    </row>
    <row r="32" ht="26.45" customHeight="1">
      <c r="A32" s="20" t="inlineStr">
        <is>
          <t>Ngũ Cốc Calbee Ít Đường 600g</t>
        </is>
      </c>
      <c r="B32" s="21" t="inlineStr">
        <is>
          <t>1481</t>
        </is>
      </c>
      <c r="C32" s="21" t="inlineStr">
        <is>
          <t>Ngũ Cốc Trắng Calbee Nhật Bản 600g</t>
        </is>
      </c>
      <c r="D32" s="21" t="inlineStr">
        <is>
          <t>https://www.facebook.com/photo/?fbid=2174488542729982&amp;set=a.107074612804729</t>
        </is>
      </c>
      <c r="E32" s="22" t="inlineStr">
        <is>
          <t>Trùng biến thể túi trắng ít đường 600g.</t>
        </is>
      </c>
    </row>
    <row r="33" ht="26.45" customHeight="1">
      <c r="A33" s="20" t="inlineStr">
        <is>
          <t>Viên Uống Minami Anserine 240 Viên</t>
        </is>
      </c>
      <c r="B33" s="21" t="inlineStr">
        <is>
          <t>2103</t>
        </is>
      </c>
      <c r="C33" s="21" t="inlineStr">
        <is>
          <t>Viên uống hỗ trợ điều trị gout</t>
        </is>
      </c>
      <c r="D33" s="21" t="inlineStr">
        <is>
          <t>https://www.facebook.com/photo/?fbid=2174486706063499&amp;set=pcb.2174486806063489</t>
        </is>
      </c>
      <c r="E33" s="22" t="inlineStr">
        <is>
          <t>Bài lặp cùng sản phẩm Minami Anserine.</t>
        </is>
      </c>
    </row>
    <row r="34" ht="26.45" customHeight="1">
      <c r="A34" s="20" t="inlineStr">
        <is>
          <t>Kem Tẩy Lông Veet Nhật Bản 150g</t>
        </is>
      </c>
      <c r="B34" s="21" t="inlineStr">
        <is>
          <t>2243</t>
        </is>
      </c>
      <c r="C34" s="21" t="inlineStr">
        <is>
          <t>ID 2243</t>
        </is>
      </c>
      <c r="D34" s="21" t="inlineStr">
        <is>
          <t>https://www.facebook.com/photo/?fbid=2172939702884866&amp;set=pcb.2172939782884858</t>
        </is>
      </c>
      <c r="E34" s="22" t="inlineStr">
        <is>
          <t>Trùng sản phẩm mới đã ghi ở lô 2; caption xác nhận kèm bông cọ.</t>
        </is>
      </c>
    </row>
    <row r="35" ht="26.45" customHeight="1">
      <c r="A35" s="20" t="inlineStr">
        <is>
          <t>Viên Uống Bổ Gan Hepalyse Plus II 180 Viên</t>
        </is>
      </c>
      <c r="B35" s="21" t="inlineStr">
        <is>
          <t>2148</t>
        </is>
      </c>
      <c r="C35" s="21" t="inlineStr">
        <is>
          <t>Viên Uống Bổ Gan Hepalyse Plus II 180 Viên</t>
        </is>
      </c>
      <c r="D35" s="21" t="inlineStr">
        <is>
          <t>https://www.facebook.com/photo/?fbid=2172939069551596&amp;set=pcb.2172939152884921</t>
        </is>
      </c>
      <c r="E35" s="22" t="inlineStr">
        <is>
          <t>Đối chiếu gần nhất với sản phẩm bổ gan hộp trắng 180 viên.</t>
        </is>
      </c>
    </row>
    <row r="36" ht="26.45" customHeight="1">
      <c r="A36" s="20" t="inlineStr">
        <is>
          <t>Bộ Dầu Gội Xả Tigi Đỏ 750ml x 2 Chai</t>
        </is>
      </c>
      <c r="B36" s="21" t="inlineStr">
        <is>
          <t>2252</t>
        </is>
      </c>
      <c r="C36" s="21" t="inlineStr">
        <is>
          <t>ID 2252</t>
        </is>
      </c>
      <c r="D36" s="21" t="inlineStr">
        <is>
          <t>https://www.facebook.com/photo/?fbid=2172935052885331&amp;set=a.107074612804729</t>
        </is>
      </c>
      <c r="E36" s="22" t="inlineStr">
        <is>
          <t>Bài lặp cùng bộ Tigi đỏ đã ghi trong lô 3.</t>
        </is>
      </c>
    </row>
    <row r="37" ht="26.45" customHeight="1">
      <c r="A37" s="23" t="inlineStr">
        <is>
          <t>Kem Dưỡng Da Aloins Nhật Bản</t>
        </is>
      </c>
      <c r="B37" s="24" t="inlineStr">
        <is>
          <t>2030</t>
        </is>
      </c>
      <c r="C37" s="24" t="inlineStr">
        <is>
          <t>Kem dưỡng da Aloins Nhật Bản</t>
        </is>
      </c>
      <c r="D37" s="24" t="inlineStr">
        <is>
          <t>https://www.facebook.com/photo/?fbid=2171506953028141&amp;set=pcb.2171507066361463</t>
        </is>
      </c>
      <c r="E37" s="25" t="inlineStr">
        <is>
          <t>Trùng kem xanh lô hội Aloins.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70" customWidth="1" min="1" max="1"/>
    <col width="75" customWidth="1" min="2" max="2"/>
  </cols>
  <sheetData>
    <row r="1" ht="15" customHeight="1">
      <c r="A1" s="1" t="inlineStr">
        <is>
          <t>Link</t>
        </is>
      </c>
      <c r="B1" s="1" t="inlineStr">
        <is>
          <t>Lý do</t>
        </is>
      </c>
    </row>
    <row r="2" ht="26.45" customHeight="1">
      <c r="A2" s="17" t="inlineStr">
        <is>
          <t>https://www.facebook.com/le.trang.77582359/posts/pfbid02E237dgJvJWXPxTdBMsfZWj79e3Nem4H62GELE9bdUBYtQo1feMDKJqdZVA1yqzucl</t>
        </is>
      </c>
      <c r="B2" s="19" t="inlineStr">
        <is>
          <t>Bài đời sống, không phải sản phẩm</t>
        </is>
      </c>
    </row>
    <row r="3" ht="26.45" customHeight="1">
      <c r="A3" s="20" t="inlineStr">
        <is>
          <t>https://www.facebook.com/le.trang.77582359/posts/pfbid02wM6CFGdJvmV16W29PmEu49W9TQFmXJ41VkRvVUW9o7DmPhMaLBrBvK3uk4kbaFVBl</t>
        </is>
      </c>
      <c r="B3" s="22" t="inlineStr">
        <is>
          <t>Bài đời sống, không phải sản phẩm</t>
        </is>
      </c>
    </row>
    <row r="4" ht="26.45" customHeight="1">
      <c r="A4" s="20" t="inlineStr">
        <is>
          <t>https://www.facebook.com/le.trang.77582359/posts/pfbid0nMPpd7WyhUvRb1mqkM1cpD9apQgDvjdbZnKTZmPTGhnNBpZxPezmqxh7ms1fxMAyl</t>
        </is>
      </c>
      <c r="B4" s="22" t="inlineStr">
        <is>
          <t>Bài đời sống, không phải sản phẩm</t>
        </is>
      </c>
    </row>
    <row r="5" ht="26.45" customHeight="1">
      <c r="A5" s="20" t="inlineStr">
        <is>
          <t>https://www.facebook.com/le.trang.77582359/posts/pfbid06Yunu7vupexNygu2acKNdcMWS2qsnvHCRywATXhkMhPooXp3pPjTKMxGbXM36nb5l</t>
        </is>
      </c>
      <c r="B5" s="22" t="inlineStr">
        <is>
          <t>Bài đời sống đã ghim, không phải sản phẩm</t>
        </is>
      </c>
    </row>
    <row r="6" ht="26.45" customHeight="1">
      <c r="A6" s="20" t="inlineStr">
        <is>
          <t>https://www.facebook.com/le.trang.77582359/posts/pfbid0Qingxs84b4eCrAeaXGQt4DNYyqDhCAxZQf9hPhpLcTyFPvK9K4SjiZkDax7Zj6gMl</t>
        </is>
      </c>
      <c r="B6" s="22" t="inlineStr">
        <is>
          <t>Bài đời sống, không phải sản phẩm</t>
        </is>
      </c>
    </row>
    <row r="7" ht="26.45" customHeight="1">
      <c r="A7" s="20" t="inlineStr">
        <is>
          <t>https://www.facebook.com/le.trang.77582359/posts/pfbid03rXEiu9ePxrSU1ifwbAFeZFHkvfFuza5d3WDUmhegV92DBC1QjXqzgzJsUymLdFpl</t>
        </is>
      </c>
      <c r="B7" s="22" t="inlineStr">
        <is>
          <t>Bài đời sống, không phải sản phẩm</t>
        </is>
      </c>
    </row>
    <row r="8" ht="15" customHeight="1">
      <c r="A8" s="20" t="inlineStr">
        <is>
          <t>https://www.facebook.com/photo/?fbid=2294832990695536</t>
        </is>
      </c>
      <c r="B8" s="22" t="inlineStr">
        <is>
          <t>Bài chúc mừng, không phải sản phẩm</t>
        </is>
      </c>
    </row>
    <row r="9" ht="26.45" customHeight="1">
      <c r="A9" s="20" t="inlineStr">
        <is>
          <t>https://www.facebook.com/le.trang.77582359/posts/pfbid036oynneHV5Jcj4Qz56PKSvqkFvvLpfTG2B8v8CMYZ4esB1giuh6xRiqr9w8zZasJnl</t>
        </is>
      </c>
      <c r="B9" s="22" t="inlineStr">
        <is>
          <t>Bài đời sống, không phải sản phẩm</t>
        </is>
      </c>
    </row>
    <row r="10" ht="26.45" customHeight="1">
      <c r="A10" s="20" t="inlineStr">
        <is>
          <t>https://www.facebook.com/le.trang.77582359/posts/pfbid0FZ9tuWiH8FLtxAxS3NB6gDNZgmjqK6MFxPZ4T11CuKyi7RwtW9AN1yh7R8NzPgsbl</t>
        </is>
      </c>
      <c r="B10" s="22" t="inlineStr">
        <is>
          <t>Bài đời sống, không phải sản phẩm</t>
        </is>
      </c>
    </row>
    <row r="11" ht="26.45" customHeight="1">
      <c r="A11" s="20" t="inlineStr">
        <is>
          <t>https://www.facebook.com/le.trang.77582359/posts/pfbid0mGNzkB322dyqqLdYjF638FePZk4TdjCC5LwphQuDkLUsYPkzTtUc16oucYfTbomJl</t>
        </is>
      </c>
      <c r="B11" s="22" t="inlineStr">
        <is>
          <t>Bài bán hàng gộp hơn 20 sản phẩm làm sạch trong một ảnh; nhãn và quy cách không đủ rõ để tách chính xác.</t>
        </is>
      </c>
    </row>
    <row r="12" ht="15" customHeight="1">
      <c r="A12" s="20" t="inlineStr">
        <is>
          <t>https://www.facebook.com/le.trang.77582359</t>
        </is>
      </c>
      <c r="B12" s="22" t="inlineStr">
        <is>
          <t>Caption chỉ ghi “Sẵn 5 tuýp ạ”; không đủ thông tin để nhận diện sản phẩm.</t>
        </is>
      </c>
    </row>
    <row r="13" ht="15" customHeight="1">
      <c r="A13" s="20" t="inlineStr">
        <is>
          <t>https://www.facebook.com/photo/?fbid=2176692972509539&amp;set=pcb.2176693239176179</t>
        </is>
      </c>
      <c r="B13" s="22" t="inlineStr">
        <is>
          <t>Kem chống nắng tuýp 110g nhưng không đọc được hãng và tên dòng.</t>
        </is>
      </c>
    </row>
    <row r="14" ht="15" customHeight="1">
      <c r="A14" s="20" t="inlineStr">
        <is>
          <t>https://www.facebook.com/photo/?fbid=2175202345991935&amp;set=pcb.2175202385991931</t>
        </is>
      </c>
      <c r="B14" s="22" t="inlineStr">
        <is>
          <t>Bài chỉ ghi kem chống nắng; không đủ thông tin để xác định sản phẩm chính xác.</t>
        </is>
      </c>
    </row>
    <row r="15" ht="15" customHeight="1">
      <c r="A15" s="20" t="inlineStr">
        <is>
          <t>https://www.facebook.com/photo/?fbid=2174491799396323&amp;set=pcb.2174492006062969</t>
        </is>
      </c>
      <c r="B15" s="22" t="inlineStr">
        <is>
          <t>Caption chỉ ghi “Sẵn 1 bộ”; không đủ thông tin nhận diện chính xác.</t>
        </is>
      </c>
    </row>
    <row r="16" ht="15" customHeight="1">
      <c r="A16" s="20" t="inlineStr">
        <is>
          <t>https://www.facebook.com/photo/?fbid=2174487696063400&amp;set=a.107074612804729</t>
        </is>
      </c>
      <c r="B16" s="22" t="inlineStr">
        <is>
          <t>Bài gộp bốn loại tảo; phần tên biến thể bị cắt và ảnh không đủ rõ để tách chính xác.</t>
        </is>
      </c>
    </row>
    <row r="17" ht="15" customHeight="1">
      <c r="A17" s="20" t="inlineStr">
        <is>
          <t>https://www.facebook.com/photo/?fbid=2173159402862896&amp;set=a.107074612804729</t>
        </is>
      </c>
      <c r="B17" s="22" t="inlineStr">
        <is>
          <t>Bài đời sống, không phải sản phẩm.</t>
        </is>
      </c>
    </row>
    <row r="18" ht="15" customHeight="1">
      <c r="A18" s="20" t="inlineStr">
        <is>
          <t>https://www.facebook.com/photo/?fbid=2172938059551697&amp;set=pcb.2172938439551659</t>
        </is>
      </c>
      <c r="B18" s="22" t="inlineStr">
        <is>
          <t>Bài Meiji nhiều sản phẩm nhưng caption không nêu biến thể và quy cách.</t>
        </is>
      </c>
    </row>
    <row r="19" ht="15" customHeight="1">
      <c r="A19" s="20" t="inlineStr">
        <is>
          <t>https://www.facebook.com/photo/?fbid=2172935516218618&amp;set=pcb.2172936192885217</t>
        </is>
      </c>
      <c r="B19" s="22" t="inlineStr">
        <is>
          <t>Sản phẩm ủ trắng spa không đọc được hãng và tên dòng.</t>
        </is>
      </c>
    </row>
    <row r="20" ht="15" customHeight="1">
      <c r="A20" s="20" t="inlineStr">
        <is>
          <t>https://www.facebook.com/photo/?fbid=2172934542885382&amp;set=pcb.2172934846218685</t>
        </is>
      </c>
      <c r="B20" s="22" t="inlineStr">
        <is>
          <t>Caption chỉ ghi “Sẵn 1 hộp cho ai muốn dùng thử”; không đủ thông tin.</t>
        </is>
      </c>
    </row>
    <row r="21" ht="15" customHeight="1">
      <c r="A21" s="20" t="inlineStr">
        <is>
          <t>https://www.facebook.com/photo/?fbid=2172933512885485&amp;set=pcb.2172933752885461</t>
        </is>
      </c>
      <c r="B21" s="22" t="inlineStr">
        <is>
          <t>Caption chỉ ghi “Hàng mới”; không đủ thông tin nhận diện.</t>
        </is>
      </c>
    </row>
    <row r="22" ht="15" customHeight="1">
      <c r="A22" s="20" t="inlineStr">
        <is>
          <t>https://www.facebook.com/photo/?fbid=2171509043027932&amp;set=a.107074612804729</t>
        </is>
      </c>
      <c r="B22" s="22" t="inlineStr">
        <is>
          <t>Bài gộp hàu tươi và hàu nghệ nhưng thiếu hãng, quy cách và tên dòng rõ ràng.</t>
        </is>
      </c>
    </row>
    <row r="23" ht="15" customHeight="1">
      <c r="A23" s="20" t="inlineStr">
        <is>
          <t>https://www.facebook.com/photo/?fbid=2171507869694716&amp;set=pcb.2171508209694682</t>
        </is>
      </c>
      <c r="B23" s="22" t="inlineStr">
        <is>
          <t>Bài soạn đơn và gửi bill, không phải bài giới thiệu sản phẩm riêng.</t>
        </is>
      </c>
    </row>
    <row r="24" ht="15" customHeight="1">
      <c r="A24" s="23" t="inlineStr">
        <is>
          <t>https://www.facebook.com/photo/?fbid=2171506549694848&amp;set=pcb.2171506659694837</t>
        </is>
      </c>
      <c r="B24" s="25" t="inlineStr">
        <is>
          <t>Combo đồ dùng bếp trong ảnh nhưng caption không liệt kê tên từng sản phẩm.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25"/>
  <cols>
    <col width="16" customWidth="1" min="1" max="1"/>
    <col width="17" customWidth="1" min="2" max="2"/>
    <col width="18" customWidth="1" min="3" max="3"/>
    <col width="42" customWidth="1" min="4" max="4"/>
    <col width="18" customWidth="1" min="5" max="5"/>
    <col width="58" customWidth="1" min="6" max="6"/>
  </cols>
  <sheetData>
    <row r="1" ht="19.15" customHeight="1">
      <c r="A1" s="52" t="inlineStr">
        <is>
          <t>BÁO CÁO CÀO FACEBOOK — LÔ 1-3</t>
        </is>
      </c>
      <c r="B1" s="53" t="n"/>
      <c r="C1" s="53" t="n"/>
      <c r="D1" s="53" t="n"/>
      <c r="E1" s="53" t="n"/>
      <c r="F1" s="3" t="n"/>
    </row>
    <row r="2">
      <c r="A2" s="4" t="n"/>
      <c r="F2" s="5" t="n"/>
    </row>
    <row r="3" ht="15" customHeight="1">
      <c r="A3" s="37" t="inlineStr">
        <is>
          <t>Năm</t>
        </is>
      </c>
      <c r="B3" s="32" t="inlineStr">
        <is>
          <t>Bài đã đọc</t>
        </is>
      </c>
      <c r="C3" s="32" t="inlineStr">
        <is>
          <t>Bài bán hàng</t>
        </is>
      </c>
      <c r="D3" s="32" t="inlineStr">
        <is>
          <t>Sản phẩm nhận diện</t>
        </is>
      </c>
      <c r="E3" s="32" t="inlineStr">
        <is>
          <t>Bỏ qua</t>
        </is>
      </c>
      <c r="F3" s="38" t="inlineStr">
        <is>
          <t>Ghi chú</t>
        </is>
      </c>
    </row>
    <row r="4" ht="15" customHeight="1">
      <c r="A4" s="8" t="n">
        <v>2025</v>
      </c>
      <c r="B4" s="9" t="n">
        <v>1</v>
      </c>
      <c r="C4" s="9" t="n">
        <v>0</v>
      </c>
      <c r="D4" s="9" t="n">
        <v>0</v>
      </c>
      <c r="E4" s="9" t="n">
        <v>1</v>
      </c>
      <c r="F4" s="10" t="inlineStr">
        <is>
          <t>Bài đời sống</t>
        </is>
      </c>
    </row>
    <row r="5" ht="15" customHeight="1">
      <c r="A5" s="11" t="n">
        <v>2024</v>
      </c>
      <c r="B5" s="12" t="n">
        <v>1</v>
      </c>
      <c r="C5" s="12" t="n">
        <v>0</v>
      </c>
      <c r="D5" s="12" t="n">
        <v>0</v>
      </c>
      <c r="E5" s="12" t="n">
        <v>1</v>
      </c>
      <c r="F5" s="13" t="inlineStr">
        <is>
          <t>Bài đời sống</t>
        </is>
      </c>
    </row>
    <row r="6" ht="15" customHeight="1">
      <c r="A6" s="11" t="n">
        <v>2023</v>
      </c>
      <c r="B6" s="12" t="n">
        <v>3</v>
      </c>
      <c r="C6" s="12" t="n">
        <v>0</v>
      </c>
      <c r="D6" s="12" t="n">
        <v>0</v>
      </c>
      <c r="E6" s="12" t="n">
        <v>3</v>
      </c>
      <c r="F6" s="13" t="inlineStr">
        <is>
          <t>Bài đời sống</t>
        </is>
      </c>
    </row>
    <row r="7" ht="15" customHeight="1">
      <c r="A7" s="14" t="n">
        <v>2022</v>
      </c>
      <c r="B7" s="15" t="n">
        <v>70</v>
      </c>
      <c r="C7" s="15" t="n">
        <v>65</v>
      </c>
      <c r="D7" s="15" t="n">
        <v>63</v>
      </c>
      <c r="E7" s="15" t="n">
        <v>18</v>
      </c>
      <c r="F7" s="16" t="inlineStr">
        <is>
          <t>Lô 1-3: 70 bài năm 2022; 63 dòng sản phẩm nhận diện, 18 bài bỏ qua</t>
        </is>
      </c>
    </row>
    <row r="8">
      <c r="A8" s="4" t="n"/>
      <c r="F8" s="5" t="n"/>
    </row>
    <row r="9" ht="15" customHeight="1">
      <c r="A9" s="37" t="inlineStr">
        <is>
          <t>Chỉ số lô</t>
        </is>
      </c>
      <c r="B9" s="32" t="inlineStr">
        <is>
          <t>Giá trị</t>
        </is>
      </c>
      <c r="D9" s="33" t="inlineStr">
        <is>
          <t>Mục cần kiểm tra</t>
        </is>
      </c>
      <c r="E9" s="33" t="inlineStr">
        <is>
          <t>Liên quan</t>
        </is>
      </c>
      <c r="F9" s="39" t="inlineStr">
        <is>
          <t>Ghi chú</t>
        </is>
      </c>
    </row>
    <row r="10" ht="15" customHeight="1">
      <c r="A10" s="2" t="inlineStr">
        <is>
          <t>Bài đã đọc</t>
        </is>
      </c>
      <c r="B10" s="3" t="n">
        <v>75</v>
      </c>
      <c r="D10" s="17" t="inlineStr">
        <is>
          <t>Biến thể Pabron</t>
        </is>
      </c>
      <c r="E10" s="18" t="inlineStr">
        <is>
          <t>Thuốc cảm 44 gói</t>
        </is>
      </c>
      <c r="F10" s="19" t="inlineStr">
        <is>
          <t>Catalogue có 3 dòng dạng gói; cần kiểm tra lại đúng biến thể và link bài riêng.</t>
        </is>
      </c>
    </row>
    <row r="11" ht="39.6" customHeight="1">
      <c r="A11" s="4" t="inlineStr">
        <is>
          <t>Sản phẩm mới</t>
        </is>
      </c>
      <c r="B11" s="5">
        <f>COUNTA('Sản phẩm'!A2:A1000)</f>
        <v/>
      </c>
      <c r="D11" s="20" t="inlineStr">
        <is>
          <t>Ảnh đại diện</t>
        </is>
      </c>
      <c r="E11" s="21" t="inlineStr">
        <is>
          <t>Pigeon, NMN, Hapycom, Bifina, Kobayashi, Kowa</t>
        </is>
      </c>
      <c r="F11" s="22" t="inlineStr">
        <is>
          <t>Ảnh Facebook có tay cầm hoặc là ảnh hàng gộp; chưa đạt chuẩn nền trơn.</t>
        </is>
      </c>
    </row>
    <row r="12" ht="39.6" customHeight="1">
      <c r="A12" s="4" t="inlineStr">
        <is>
          <t>Nghi trùng web</t>
        </is>
      </c>
      <c r="B12" s="5">
        <f>COUNTA('Trùng với web'!A2:A1000)</f>
        <v/>
      </c>
      <c r="D12" s="20" t="inlineStr">
        <is>
          <t>Thiếu quy cách</t>
        </is>
      </c>
      <c r="E12" s="21" t="inlineStr">
        <is>
          <t>Serum NMN, Aqualabel, Whitening Cream, Bone Kids</t>
        </is>
      </c>
      <c r="F12" s="22" t="inlineStr">
        <is>
          <t>Không suy đoán từ nguồn ngoài; đã để trống và ghi chú.</t>
        </is>
      </c>
    </row>
    <row r="13" ht="26.45" customHeight="1">
      <c r="A13" s="4" t="inlineStr">
        <is>
          <t>Bỏ qua</t>
        </is>
      </c>
      <c r="B13" s="5">
        <f>COUNTA('Bỏ qua'!A2:A1000)</f>
        <v/>
      </c>
      <c r="D13" s="20" t="inlineStr">
        <is>
          <t>Giá bán</t>
        </is>
      </c>
      <c r="E13" s="21" t="inlineStr">
        <is>
          <t>Toàn bộ sản phẩm lô 1</t>
        </is>
      </c>
      <c r="F13" s="22" t="inlineStr">
        <is>
          <t>Caption không nêu giá rõ ràng nên để trống; không dùng số in trên bao bì làm giá.</t>
        </is>
      </c>
    </row>
    <row r="14" ht="26.45" customHeight="1">
      <c r="A14" s="6" t="inlineStr">
        <is>
          <t>Tổng sản phẩm</t>
        </is>
      </c>
      <c r="B14" s="7">
        <f>B11+B12</f>
        <v/>
      </c>
      <c r="D14" s="23" t="inlineStr">
        <is>
          <t>Bài ảnh gộp</t>
        </is>
      </c>
      <c r="E14" s="24" t="inlineStr">
        <is>
          <t>Sản phẩm làm sạch da</t>
        </is>
      </c>
      <c r="F14" s="25" t="inlineStr">
        <is>
          <t>Hơn 20 sản phẩm trong một ảnh, nhãn/quy cách không đủ rõ để tách chính xác.</t>
        </is>
      </c>
    </row>
    <row r="15">
      <c r="A15" s="4" t="n"/>
      <c r="F15" s="5" t="n"/>
    </row>
    <row r="16" ht="15" customHeight="1">
      <c r="A16" s="54" t="inlineStr">
        <is>
          <t>Phạm vi lô 1-3: 75 bài công khai đã đọc, từ năm 2025 về đến 16-07-2022. Dữ liệu lô 3 nằm trong khoảng 20-07-2022 đến 16-07-2022.</t>
        </is>
      </c>
      <c r="F16" s="5" t="n"/>
    </row>
    <row r="17">
      <c r="A17" s="4" t="n"/>
      <c r="F17" s="5" t="n"/>
    </row>
    <row r="18" ht="15.6" customHeight="1">
      <c r="A18" s="55" t="inlineStr">
        <is>
          <t>KẾT QUẢ LÔ 2</t>
        </is>
      </c>
      <c r="F18" s="5" t="n"/>
    </row>
    <row r="19" ht="15" customHeight="1">
      <c r="A19" s="37" t="inlineStr">
        <is>
          <t>Năm</t>
        </is>
      </c>
      <c r="B19" s="32" t="inlineStr">
        <is>
          <t>Bài đã đọc</t>
        </is>
      </c>
      <c r="C19" s="32" t="inlineStr">
        <is>
          <t>Sản phẩm</t>
        </is>
      </c>
      <c r="D19" s="32" t="inlineStr">
        <is>
          <t>Bỏ qua</t>
        </is>
      </c>
      <c r="E19" s="32" t="inlineStr">
        <is>
          <t>Nghi trùng web</t>
        </is>
      </c>
      <c r="F19" s="38" t="inlineStr">
        <is>
          <t>Sản phẩm mới</t>
        </is>
      </c>
    </row>
    <row r="20" ht="15" customHeight="1">
      <c r="A20" s="34" t="n">
        <v>2022</v>
      </c>
      <c r="B20" s="35" t="n">
        <v>25</v>
      </c>
      <c r="C20" s="35" t="n">
        <v>23</v>
      </c>
      <c r="D20" s="35" t="n">
        <v>3</v>
      </c>
      <c r="E20" s="35" t="n">
        <v>12</v>
      </c>
      <c r="F20" s="36" t="n">
        <v>11</v>
      </c>
    </row>
    <row r="21">
      <c r="A21" s="4" t="n"/>
      <c r="F21" s="5" t="n"/>
    </row>
    <row r="22" ht="15" customHeight="1">
      <c r="A22" s="54" t="inlineStr">
        <is>
          <t>Lô 2 kết thúc tại bài Viên uống chống nắng Fine Japan UV ngày 21-07-2022. Một bài Pabron có hai biến thể đóng gói nên 25 bài tạo ra 23 dòng sản phẩm và 3 dòng bỏ qua.</t>
        </is>
      </c>
      <c r="F22" s="5" t="n"/>
    </row>
    <row r="23">
      <c r="A23" s="4" t="n"/>
      <c r="F23" s="5" t="n"/>
    </row>
    <row r="24" ht="15.6" customHeight="1">
      <c r="A24" s="55" t="inlineStr">
        <is>
          <t>KẾT QUẢ LÔ 3</t>
        </is>
      </c>
      <c r="F24" s="5" t="n"/>
    </row>
    <row r="25" ht="15" customHeight="1">
      <c r="A25" s="37" t="inlineStr">
        <is>
          <t>Năm</t>
        </is>
      </c>
      <c r="B25" s="32" t="inlineStr">
        <is>
          <t>Bài đã đọc</t>
        </is>
      </c>
      <c r="C25" s="32" t="inlineStr">
        <is>
          <t>Sản phẩm</t>
        </is>
      </c>
      <c r="D25" s="32" t="inlineStr">
        <is>
          <t>Bỏ qua</t>
        </is>
      </c>
      <c r="E25" s="32" t="inlineStr">
        <is>
          <t>Nghi trùng web</t>
        </is>
      </c>
      <c r="F25" s="38" t="inlineStr">
        <is>
          <t>Sản phẩm mới</t>
        </is>
      </c>
    </row>
    <row r="26" ht="15" customHeight="1">
      <c r="A26" s="34" t="n">
        <v>2022</v>
      </c>
      <c r="B26" s="35" t="n">
        <v>25</v>
      </c>
      <c r="C26" s="35" t="n">
        <v>15</v>
      </c>
      <c r="D26" s="35" t="n">
        <v>10</v>
      </c>
      <c r="E26" s="35" t="n">
        <v>9</v>
      </c>
      <c r="F26" s="36" t="n">
        <v>6</v>
      </c>
    </row>
    <row r="27">
      <c r="A27" s="4" t="n"/>
      <c r="F27" s="5" t="n"/>
    </row>
    <row r="28" ht="15" customHeight="1">
      <c r="A28" s="56" t="inlineStr">
        <is>
          <t>Lô 3 kết thúc tại bài “Bộ combo trong bếp” ngày 16-07-2022. Các bài ảnh gộp hoặc caption quá ngắn được đưa vào Bỏ qua thay vì suy đoán.</t>
        </is>
      </c>
      <c r="B28" s="57" t="n"/>
      <c r="C28" s="57" t="n"/>
      <c r="D28" s="57" t="n"/>
      <c r="E28" s="57" t="n"/>
      <c r="F28" s="7" t="n"/>
    </row>
  </sheetData>
  <mergeCells count="6">
    <mergeCell ref="A24:F24"/>
    <mergeCell ref="A16:F16"/>
    <mergeCell ref="A28:F28"/>
    <mergeCell ref="A1:F1"/>
    <mergeCell ref="A22:F22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AnhLD</dc:creator>
  <dcterms:created xsi:type="dcterms:W3CDTF">2026-09-09T07:36:04Z</dcterms:created>
  <dcterms:modified xsi:type="dcterms:W3CDTF">2026-09-09T07:50:44Z</dcterms:modified>
  <cp:lastModifiedBy>Le Duc Anh</cp:lastModifiedBy>
</cp:coreProperties>
</file>